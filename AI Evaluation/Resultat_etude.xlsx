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f" sheetId="1" state="visible" r:id="rId1"/>
    <sheet name="ChatGPT" sheetId="2" state="visible" r:id="rId2"/>
    <sheet name="Gemini" sheetId="3" state="visible" r:id="rId3"/>
    <sheet name="Mistr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/>
      <bottom/>
    </border>
    <border>
      <left/>
      <right/>
      <top/>
      <bottom style="thin"/>
    </border>
    <border>
      <left style="thin"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 style="thin"/>
      <top/>
      <bottom style="thin"/>
    </border>
    <border>
      <left style="thin"/>
      <right style="thin"/>
      <top style="thin"/>
      <bottom/>
    </border>
    <border>
      <left style="thin"/>
      <right style="thin"/>
      <top/>
      <bottom/>
    </border>
    <border>
      <left style="thin"/>
      <right style="thin"/>
      <top/>
      <bottom style="thin"/>
    </border>
    <border>
      <left style="thin"/>
      <right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6" pivotButton="0" quotePrefix="0" xfId="0"/>
    <xf numFmtId="0" fontId="0" fillId="0" borderId="8" pivotButton="0" quotePrefix="0" xfId="0"/>
  </cellXfs>
  <cellStyles count="1">
    <cellStyle name="Normal" xfId="0" builtinId="0" hidden="0"/>
  </cellStyles>
  <dxfs count="2">
    <dxf>
      <fill>
        <patternFill patternType="solid">
          <fgColor rgb="00FF0000"/>
          <bgColor rgb="00FF0000"/>
        </patternFill>
      </fill>
    </dxf>
    <dxf>
      <fill>
        <patternFill patternType="solid">
          <fgColor rgb="0000FF00"/>
          <bgColor rgb="0000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FR</t>
        </is>
      </c>
    </row>
    <row r="2">
      <c r="B2" s="2" t="inlineStr">
        <is>
          <t>Réponse détaillée, sans image</t>
        </is>
      </c>
      <c r="C2" s="3" t="n"/>
      <c r="D2" s="3" t="n"/>
      <c r="E2" s="3" t="n"/>
      <c r="F2" s="3" t="n"/>
      <c r="G2" s="4" t="n"/>
      <c r="K2" s="2" t="inlineStr">
        <is>
          <t>Réponse synthétique, sans image</t>
        </is>
      </c>
      <c r="L2" s="3" t="n"/>
      <c r="M2" s="3" t="n"/>
      <c r="N2" s="3" t="n"/>
      <c r="O2" s="3" t="n"/>
      <c r="P2" s="4" t="n"/>
      <c r="T2" s="2" t="inlineStr">
        <is>
          <t>Réponse avec image</t>
        </is>
      </c>
      <c r="U2" s="3" t="n"/>
      <c r="V2" s="3" t="n"/>
      <c r="W2" s="3" t="n"/>
      <c r="X2" s="3" t="n"/>
      <c r="Y2" s="4" t="n"/>
    </row>
    <row r="3">
      <c r="A3" s="5" t="inlineStr">
        <is>
          <t>Nom IA</t>
        </is>
      </c>
      <c r="B3" s="5" t="inlineStr">
        <is>
          <t>Longueur de réponse</t>
        </is>
      </c>
      <c r="C3" s="3" t="inlineStr">
        <is>
          <t>Nombre de mots</t>
        </is>
      </c>
      <c r="D3" s="3" t="inlineStr">
        <is>
          <t>Densité d'information utile</t>
        </is>
      </c>
      <c r="E3" s="3" t="inlineStr">
        <is>
          <t>Note de réussite</t>
        </is>
      </c>
      <c r="F3" s="3" t="inlineStr">
        <is>
          <t>Similarité syntaxique</t>
        </is>
      </c>
      <c r="G3" s="6" t="inlineStr">
        <is>
          <t>Score</t>
        </is>
      </c>
      <c r="J3" s="5" t="inlineStr">
        <is>
          <t>Nom IA</t>
        </is>
      </c>
      <c r="K3" s="5" t="inlineStr">
        <is>
          <t>Longueur de réponse</t>
        </is>
      </c>
      <c r="L3" s="3" t="inlineStr">
        <is>
          <t>Nombre de mots</t>
        </is>
      </c>
      <c r="M3" s="3" t="inlineStr">
        <is>
          <t>Densité d'information utile</t>
        </is>
      </c>
      <c r="N3" s="3" t="inlineStr">
        <is>
          <t>Note de réussite</t>
        </is>
      </c>
      <c r="O3" s="3" t="inlineStr">
        <is>
          <t>Similarité syntaxique</t>
        </is>
      </c>
      <c r="P3" s="6" t="inlineStr">
        <is>
          <t>Score</t>
        </is>
      </c>
      <c r="S3" s="5" t="inlineStr">
        <is>
          <t>Nom IA</t>
        </is>
      </c>
      <c r="T3" s="5" t="inlineStr">
        <is>
          <t>Longueur de réponse</t>
        </is>
      </c>
      <c r="U3" s="3" t="inlineStr">
        <is>
          <t>Nombre de mots</t>
        </is>
      </c>
      <c r="V3" s="3" t="inlineStr">
        <is>
          <t>Densité d'information utile</t>
        </is>
      </c>
      <c r="W3" s="3" t="inlineStr">
        <is>
          <t>Note de réussite</t>
        </is>
      </c>
      <c r="X3" s="3" t="inlineStr">
        <is>
          <t>Similarité syntaxique</t>
        </is>
      </c>
      <c r="Y3" s="6" t="inlineStr">
        <is>
          <t>Score</t>
        </is>
      </c>
    </row>
    <row r="4">
      <c r="A4" s="5" t="inlineStr">
        <is>
          <t>ChatGPT</t>
        </is>
      </c>
      <c r="B4" s="5">
        <f>AVERAGE(ChatGPT!B4:B14)</f>
        <v/>
      </c>
      <c r="C4" s="3">
        <f>AVERAGE(ChatGPT!C4:C14)</f>
        <v/>
      </c>
      <c r="D4" s="3">
        <f>AVERAGE(ChatGPT!D4:D14)</f>
        <v/>
      </c>
      <c r="E4" s="3">
        <f>AVERAGE(ChatGPT!E4:E14)</f>
        <v/>
      </c>
      <c r="F4" s="3">
        <f>AVERAGE(ChatGPT!F4:F14)</f>
        <v/>
      </c>
      <c r="G4" s="6">
        <f> (D4^0.25 * (E4/10)^1.5 *(F4/10)^1) /(EXP(0.5 * MAX(C4/250-1,0)))</f>
        <v/>
      </c>
      <c r="J4" s="5" t="inlineStr">
        <is>
          <t>ChatGPT</t>
        </is>
      </c>
      <c r="K4" s="5">
        <f>AVERAGE(ChatGPT!J4:J14)</f>
        <v/>
      </c>
      <c r="L4" s="3">
        <f>AVERAGE(ChatGPT!K4:K14)</f>
        <v/>
      </c>
      <c r="M4" s="3">
        <f>AVERAGE(ChatGPT!L4:L14)</f>
        <v/>
      </c>
      <c r="N4" s="3">
        <f>AVERAGE(ChatGPT!M4:M14)</f>
        <v/>
      </c>
      <c r="O4" s="3">
        <f>AVERAGE(ChatGPT!N4:N14)</f>
        <v/>
      </c>
      <c r="P4" s="6">
        <f> (M4^0.25 * (N4/10)^1.5 *(O4/10)^1) /(EXP(0.5 * MAX(L4/250-1,0)))</f>
        <v/>
      </c>
      <c r="S4" s="5" t="inlineStr">
        <is>
          <t>ChatGPT</t>
        </is>
      </c>
      <c r="T4" s="5">
        <f>AVERAGE(ChatGPT!R4:R14)</f>
        <v/>
      </c>
      <c r="U4" s="3">
        <f>AVERAGE(ChatGPT!S4:S14)</f>
        <v/>
      </c>
      <c r="V4" s="3">
        <f>AVERAGE(ChatGPT!T4:T14)</f>
        <v/>
      </c>
      <c r="W4" s="3">
        <f>AVERAGE(ChatGPT!U4:U14)</f>
        <v/>
      </c>
      <c r="X4" s="3">
        <f>AVERAGE(ChatGPT!V4:V14)</f>
        <v/>
      </c>
      <c r="Y4" s="6">
        <f> (V4^0.25 * (W4/10)^1.5 *(X4/10)^1) /(EXP(0.5 * MAX(U4/250-1,0)))</f>
        <v/>
      </c>
    </row>
    <row r="5">
      <c r="A5" s="7" t="inlineStr">
        <is>
          <t>Gemini</t>
        </is>
      </c>
      <c r="B5" s="7">
        <f>AVERAGE(Gemini!B4:B14)</f>
        <v/>
      </c>
      <c r="C5">
        <f>AVERAGE(Gemini!C4:C14)</f>
        <v/>
      </c>
      <c r="D5">
        <f>AVERAGE(Gemini!D4:D14)</f>
        <v/>
      </c>
      <c r="E5">
        <f>AVERAGE(Gemini!E4:E14)</f>
        <v/>
      </c>
      <c r="F5">
        <f>AVERAGE(Gemini!F4:F14)</f>
        <v/>
      </c>
      <c r="G5" s="8">
        <f> (D5^0.25 * (E5/10)^1.5 *(F5/10)^1) /(EXP(0.5 * MAX(C5/250-1,0)))</f>
        <v/>
      </c>
      <c r="J5" s="7" t="inlineStr">
        <is>
          <t>Gemini</t>
        </is>
      </c>
      <c r="K5" s="7">
        <f>AVERAGE(Gemini!J4:J14)</f>
        <v/>
      </c>
      <c r="L5">
        <f>AVERAGE(Gemini!K4:K14)</f>
        <v/>
      </c>
      <c r="M5">
        <f>AVERAGE(Gemini!L4:L14)</f>
        <v/>
      </c>
      <c r="N5">
        <f>AVERAGE(Gemini!M4:M14)</f>
        <v/>
      </c>
      <c r="O5">
        <f>AVERAGE(Gemini!N4:N14)</f>
        <v/>
      </c>
      <c r="P5" s="8">
        <f> (M5^0.25 * (N5/10)^1.5 *(O5/10)^1) /(EXP(0.5 * MAX(L5/250-1,0)))</f>
        <v/>
      </c>
      <c r="S5" s="7" t="inlineStr">
        <is>
          <t>Gemini</t>
        </is>
      </c>
      <c r="T5" s="7">
        <f>AVERAGE(Gemini!R4:R14)</f>
        <v/>
      </c>
      <c r="U5">
        <f>AVERAGE(Gemini!S4:S14)</f>
        <v/>
      </c>
      <c r="V5">
        <f>AVERAGE(Gemini!T4:T14)</f>
        <v/>
      </c>
      <c r="W5">
        <f>AVERAGE(Gemini!U4:U14)</f>
        <v/>
      </c>
      <c r="X5">
        <f>AVERAGE(Gemini!V4:V14)</f>
        <v/>
      </c>
      <c r="Y5" s="8">
        <f> (V5^0.25 * (W5/10)^1.5 *(X5/10)^1) /(EXP(0.5 * MAX(U5/250-1,0)))</f>
        <v/>
      </c>
    </row>
    <row r="6">
      <c r="A6" s="9" t="inlineStr">
        <is>
          <t>Mistral</t>
        </is>
      </c>
      <c r="B6" s="9">
        <f>AVERAGE(Mistral!B4:B14)</f>
        <v/>
      </c>
      <c r="C6" s="10">
        <f>AVERAGE(Mistral!C4:C14)</f>
        <v/>
      </c>
      <c r="D6" s="10">
        <f>AVERAGE(Mistral!D4:D14)</f>
        <v/>
      </c>
      <c r="E6" s="10">
        <f>AVERAGE(Mistral!E4:E14)</f>
        <v/>
      </c>
      <c r="F6" s="10">
        <f>AVERAGE(Mistral!F4:F14)</f>
        <v/>
      </c>
      <c r="G6" s="11">
        <f> (D6^0.25 * (E6/10)^1.5 *(F6/10)^1) /(EXP(0.5 * MAX(C6/250-1,0)))</f>
        <v/>
      </c>
      <c r="J6" s="9" t="inlineStr">
        <is>
          <t>Mistral</t>
        </is>
      </c>
      <c r="K6" s="9">
        <f>AVERAGE(Mistral!J4:J14)</f>
        <v/>
      </c>
      <c r="L6" s="10">
        <f>AVERAGE(Mistral!K4:K14)</f>
        <v/>
      </c>
      <c r="M6" s="10">
        <f>AVERAGE(Mistral!L4:L14)</f>
        <v/>
      </c>
      <c r="N6" s="10">
        <f>AVERAGE(Mistral!M4:M14)</f>
        <v/>
      </c>
      <c r="O6" s="10">
        <f>AVERAGE(Mistral!N4:N14)</f>
        <v/>
      </c>
      <c r="P6" s="11">
        <f> (M6^0.25 * (N6/10)^1.5 *(O6/10)^1) /(EXP(0.5 * MAX(L6/250-1,0)))</f>
        <v/>
      </c>
      <c r="S6" s="9" t="inlineStr">
        <is>
          <t>Mistral</t>
        </is>
      </c>
      <c r="T6" s="9">
        <f>AVERAGE(Mistral!R4:R14)</f>
        <v/>
      </c>
      <c r="U6" s="10">
        <f>AVERAGE(Mistral!S4:S14)</f>
        <v/>
      </c>
      <c r="V6" s="10">
        <f>AVERAGE(Mistral!T4:T14)</f>
        <v/>
      </c>
      <c r="W6" s="10">
        <f>AVERAGE(Mistral!U4:U14)</f>
        <v/>
      </c>
      <c r="X6" s="10">
        <f>AVERAGE(Mistral!V4:V14)</f>
        <v/>
      </c>
      <c r="Y6" s="11">
        <f> (V6^0.25 * (W6/10)^1.5 *(X6/10)^1) /(EXP(0.5 * MAX(U6/250-1,0)))</f>
        <v/>
      </c>
    </row>
    <row r="7"/>
    <row r="8"/>
    <row r="9">
      <c r="A9" s="1" t="inlineStr">
        <is>
          <t>EN</t>
        </is>
      </c>
    </row>
    <row r="10">
      <c r="B10" s="2" t="inlineStr">
        <is>
          <t>Réponse détaillée, sans image</t>
        </is>
      </c>
      <c r="C10" s="3" t="n"/>
      <c r="D10" s="3" t="n"/>
      <c r="E10" s="3" t="n"/>
      <c r="F10" s="3" t="n"/>
      <c r="G10" s="4" t="n"/>
      <c r="K10" s="2" t="inlineStr">
        <is>
          <t>Réponse synthétique, sans image</t>
        </is>
      </c>
      <c r="L10" s="3" t="n"/>
      <c r="M10" s="3" t="n"/>
      <c r="N10" s="3" t="n"/>
      <c r="O10" s="3" t="n"/>
      <c r="P10" s="4" t="n"/>
      <c r="T10" s="2" t="inlineStr">
        <is>
          <t>Réponse avec image</t>
        </is>
      </c>
      <c r="U10" s="3" t="n"/>
      <c r="V10" s="3" t="n"/>
      <c r="W10" s="3" t="n"/>
      <c r="X10" s="3" t="n"/>
      <c r="Y10" s="4" t="n"/>
    </row>
    <row r="11">
      <c r="A11" s="5" t="inlineStr">
        <is>
          <t>Nom IA</t>
        </is>
      </c>
      <c r="B11" s="5" t="inlineStr">
        <is>
          <t>Longueur de réponse</t>
        </is>
      </c>
      <c r="C11" s="3" t="inlineStr">
        <is>
          <t>Nombre de mots</t>
        </is>
      </c>
      <c r="D11" s="3" t="inlineStr">
        <is>
          <t>Densité d'information utile</t>
        </is>
      </c>
      <c r="E11" s="3" t="inlineStr">
        <is>
          <t>Note de réussite</t>
        </is>
      </c>
      <c r="F11" s="3" t="inlineStr">
        <is>
          <t>Similarité syntaxique</t>
        </is>
      </c>
      <c r="G11" s="6" t="inlineStr">
        <is>
          <t>Score</t>
        </is>
      </c>
      <c r="J11" s="5" t="inlineStr">
        <is>
          <t>Nom IA</t>
        </is>
      </c>
      <c r="K11" s="5" t="inlineStr">
        <is>
          <t>Longueur de réponse</t>
        </is>
      </c>
      <c r="L11" s="3" t="inlineStr">
        <is>
          <t>Nombre de mots</t>
        </is>
      </c>
      <c r="M11" s="3" t="inlineStr">
        <is>
          <t>Densité d'information utile</t>
        </is>
      </c>
      <c r="N11" s="3" t="inlineStr">
        <is>
          <t>Note de réussite</t>
        </is>
      </c>
      <c r="O11" s="3" t="inlineStr">
        <is>
          <t>Similarité syntaxique</t>
        </is>
      </c>
      <c r="P11" s="6" t="inlineStr">
        <is>
          <t>Score</t>
        </is>
      </c>
      <c r="S11" s="5" t="inlineStr">
        <is>
          <t>Nom IA</t>
        </is>
      </c>
      <c r="T11" s="5" t="inlineStr">
        <is>
          <t>Longueur de réponse</t>
        </is>
      </c>
      <c r="U11" s="3" t="inlineStr">
        <is>
          <t>Nombre de mots</t>
        </is>
      </c>
      <c r="V11" s="3" t="inlineStr">
        <is>
          <t>Densité d'information utile</t>
        </is>
      </c>
      <c r="W11" s="3" t="inlineStr">
        <is>
          <t>Note de réussite</t>
        </is>
      </c>
      <c r="X11" s="3" t="inlineStr">
        <is>
          <t>Similarité syntaxique</t>
        </is>
      </c>
      <c r="Y11" s="6" t="inlineStr">
        <is>
          <t>Score</t>
        </is>
      </c>
    </row>
    <row r="12">
      <c r="A12" s="5" t="inlineStr">
        <is>
          <t>ChatGPT</t>
        </is>
      </c>
      <c r="B12" s="5">
        <f>AVERAGE(ChatGPT!B20:B30)</f>
        <v/>
      </c>
      <c r="C12" s="3">
        <f>AVERAGE(ChatGPT!C20:C30)</f>
        <v/>
      </c>
      <c r="D12" s="3">
        <f>AVERAGE(ChatGPT!D20:D30)</f>
        <v/>
      </c>
      <c r="E12" s="3">
        <f>AVERAGE(ChatGPT!E20:E30)</f>
        <v/>
      </c>
      <c r="F12" s="3">
        <f>AVERAGE(ChatGPT!F20:F30)</f>
        <v/>
      </c>
      <c r="G12" s="6">
        <f> (D12^0.25 * (E12/10)^1.5 *(F12/10)^1) /(EXP(0.5 * MAX(C12/250-1,0)))</f>
        <v/>
      </c>
      <c r="J12" s="5" t="inlineStr">
        <is>
          <t>ChatGPT</t>
        </is>
      </c>
      <c r="K12" s="5">
        <f>AVERAGE(ChatGPT!J20:J30)</f>
        <v/>
      </c>
      <c r="L12" s="3">
        <f>AVERAGE(ChatGPT!K20:K30)</f>
        <v/>
      </c>
      <c r="M12" s="3">
        <f>AVERAGE(ChatGPT!L20:L30)</f>
        <v/>
      </c>
      <c r="N12" s="3">
        <f>AVERAGE(ChatGPT!M20:M30)</f>
        <v/>
      </c>
      <c r="O12" s="3">
        <f>AVERAGE(ChatGPT!N20:N30)</f>
        <v/>
      </c>
      <c r="P12" s="6">
        <f> (M12^0.25 * (N12/10)^1.5 *(O12/10)^1) /(EXP(0.5 * MAX(L12/250-1,0)))</f>
        <v/>
      </c>
      <c r="S12" s="5" t="inlineStr">
        <is>
          <t>ChatGPT</t>
        </is>
      </c>
      <c r="T12" s="5">
        <f>AVERAGE(ChatGPT!R20:R30)</f>
        <v/>
      </c>
      <c r="U12" s="3">
        <f>AVERAGE(ChatGPT!S20:S30)</f>
        <v/>
      </c>
      <c r="V12" s="3">
        <f>AVERAGE(ChatGPT!T20:T30)</f>
        <v/>
      </c>
      <c r="W12" s="3">
        <f>AVERAGE(ChatGPT!U20:U30)</f>
        <v/>
      </c>
      <c r="X12" s="3">
        <f>AVERAGE(ChatGPT!V20:V30)</f>
        <v/>
      </c>
      <c r="Y12" s="6">
        <f> (V12^0.25 * (W12/10)^1.5 *(X12/10)^1) /(EXP(0.5 * MAX(U12/250-1,0)))</f>
        <v/>
      </c>
    </row>
    <row r="13">
      <c r="A13" s="7" t="inlineStr">
        <is>
          <t>Gemini</t>
        </is>
      </c>
      <c r="B13" s="7">
        <f>AVERAGE(Gemini!B20:B30)</f>
        <v/>
      </c>
      <c r="C13">
        <f>AVERAGE(Gemini!C20:C30)</f>
        <v/>
      </c>
      <c r="D13">
        <f>AVERAGE(Gemini!D20:D30)</f>
        <v/>
      </c>
      <c r="E13">
        <f>AVERAGE(Gemini!E20:E30)</f>
        <v/>
      </c>
      <c r="F13">
        <f>AVERAGE(Gemini!F20:F30)</f>
        <v/>
      </c>
      <c r="G13" s="8">
        <f> (D13^0.25 * (E13/10)^1.5 *(F13/10)^1) /(EXP(0.5 * MAX(C13/250-1,0)))</f>
        <v/>
      </c>
      <c r="J13" s="7" t="inlineStr">
        <is>
          <t>Gemini</t>
        </is>
      </c>
      <c r="K13" s="7">
        <f>AVERAGE(Gemini!J20:J30)</f>
        <v/>
      </c>
      <c r="L13">
        <f>AVERAGE(Gemini!K20:K30)</f>
        <v/>
      </c>
      <c r="M13">
        <f>AVERAGE(Gemini!L20:L30)</f>
        <v/>
      </c>
      <c r="N13">
        <f>AVERAGE(Gemini!M20:M30)</f>
        <v/>
      </c>
      <c r="O13">
        <f>AVERAGE(Gemini!N20:N30)</f>
        <v/>
      </c>
      <c r="P13" s="8">
        <f> (M13^0.25 * (N13/10)^1.5 *(O13/10)^1) /(EXP(0.5 * MAX(L13/250-1,0)))</f>
        <v/>
      </c>
      <c r="S13" s="7" t="inlineStr">
        <is>
          <t>Gemini</t>
        </is>
      </c>
      <c r="T13" s="7">
        <f>AVERAGE(Gemini!R20:R30)</f>
        <v/>
      </c>
      <c r="U13">
        <f>AVERAGE(Gemini!S20:S30)</f>
        <v/>
      </c>
      <c r="V13">
        <f>AVERAGE(Gemini!T20:T30)</f>
        <v/>
      </c>
      <c r="W13">
        <f>AVERAGE(Gemini!U20:U30)</f>
        <v/>
      </c>
      <c r="X13">
        <f>AVERAGE(Gemini!V20:V30)</f>
        <v/>
      </c>
      <c r="Y13" s="8">
        <f> (V13^0.25 * (W13/10)^1.5 *(X13/10)^1) /(EXP(0.5 * MAX(U13/250-1,0)))</f>
        <v/>
      </c>
    </row>
    <row r="14">
      <c r="A14" s="9" t="inlineStr">
        <is>
          <t>Mistral</t>
        </is>
      </c>
      <c r="B14" s="9">
        <f>AVERAGE(Mistral!B20:B30)</f>
        <v/>
      </c>
      <c r="C14" s="10">
        <f>AVERAGE(Mistral!C20:C30)</f>
        <v/>
      </c>
      <c r="D14" s="10">
        <f>AVERAGE(Mistral!D20:D30)</f>
        <v/>
      </c>
      <c r="E14" s="10">
        <f>AVERAGE(Mistral!E20:E30)</f>
        <v/>
      </c>
      <c r="F14" s="10">
        <f>AVERAGE(Mistral!F20:F30)</f>
        <v/>
      </c>
      <c r="G14" s="11">
        <f> (D14^0.25 * (E14/10)^1.5 *(F14/10)^1) /(EXP(0.5 * MAX(C14/250-1,0)))</f>
        <v/>
      </c>
      <c r="J14" s="9" t="inlineStr">
        <is>
          <t>Mistral</t>
        </is>
      </c>
      <c r="K14" s="9">
        <f>AVERAGE(Mistral!J20:J30)</f>
        <v/>
      </c>
      <c r="L14" s="10">
        <f>AVERAGE(Mistral!K20:K30)</f>
        <v/>
      </c>
      <c r="M14" s="10">
        <f>AVERAGE(Mistral!L20:L30)</f>
        <v/>
      </c>
      <c r="N14" s="10">
        <f>AVERAGE(Mistral!M20:M30)</f>
        <v/>
      </c>
      <c r="O14" s="10">
        <f>AVERAGE(Mistral!N20:N30)</f>
        <v/>
      </c>
      <c r="P14" s="11">
        <f> (M14^0.25 * (N14/10)^1.5 *(O14/10)^1) /(EXP(0.5 * MAX(L14/250-1,0)))</f>
        <v/>
      </c>
      <c r="S14" s="9" t="inlineStr">
        <is>
          <t>Mistral</t>
        </is>
      </c>
      <c r="T14" s="9">
        <f>AVERAGE(Mistral!R20:R30)</f>
        <v/>
      </c>
      <c r="U14" s="10">
        <f>AVERAGE(Mistral!S20:S30)</f>
        <v/>
      </c>
      <c r="V14" s="10">
        <f>AVERAGE(Mistral!T20:T30)</f>
        <v/>
      </c>
      <c r="W14" s="10">
        <f>AVERAGE(Mistral!U20:U30)</f>
        <v/>
      </c>
      <c r="X14" s="10">
        <f>AVERAGE(Mistral!V20:V30)</f>
        <v/>
      </c>
      <c r="Y14" s="11">
        <f> (V14^0.25 * (W14/10)^1.5 *(X14/10)^1) /(EXP(0.5 * MAX(U14/250-1,0)))</f>
        <v/>
      </c>
    </row>
  </sheetData>
  <mergeCells count="8">
    <mergeCell ref="B2:G2"/>
    <mergeCell ref="K2:P2"/>
    <mergeCell ref="T10:Y10"/>
    <mergeCell ref="T2:Y2"/>
    <mergeCell ref="B10:G10"/>
    <mergeCell ref="A1:C1"/>
    <mergeCell ref="K10:P10"/>
    <mergeCell ref="A9:C9"/>
  </mergeCells>
  <conditionalFormatting sqref="B4:B6">
    <cfRule type="expression" priority="1" dxfId="0">
      <formula>B4=MAX($B$4:$B6)</formula>
    </cfRule>
    <cfRule type="expression" priority="2" dxfId="1">
      <formula>B4=MIN($B$4:$B6)</formula>
    </cfRule>
  </conditionalFormatting>
  <conditionalFormatting sqref="C4:C6">
    <cfRule type="expression" priority="3" dxfId="0">
      <formula>C4=MAX($C$4:$C6)</formula>
    </cfRule>
    <cfRule type="expression" priority="4" dxfId="1">
      <formula>C4=MIN($C$4:$C6)</formula>
    </cfRule>
  </conditionalFormatting>
  <conditionalFormatting sqref="D4:D6">
    <cfRule type="expression" priority="5" dxfId="1">
      <formula>D4=MAX($D$4:$D6)</formula>
    </cfRule>
    <cfRule type="expression" priority="6" dxfId="0">
      <formula>D4=MIN($D$4:$D6)</formula>
    </cfRule>
  </conditionalFormatting>
  <conditionalFormatting sqref="E4:E6">
    <cfRule type="expression" priority="7" dxfId="1">
      <formula>E4=MAX($E$4:$E6)</formula>
    </cfRule>
    <cfRule type="expression" priority="8" dxfId="0">
      <formula>E4=MIN($E$4:$E6)</formula>
    </cfRule>
  </conditionalFormatting>
  <conditionalFormatting sqref="F4:F6">
    <cfRule type="expression" priority="9" dxfId="1">
      <formula>F4=MAX($F$4:$F6)</formula>
    </cfRule>
    <cfRule type="expression" priority="10" dxfId="0">
      <formula>F4=MIN($F$4:$F6)</formula>
    </cfRule>
  </conditionalFormatting>
  <conditionalFormatting sqref="G4:G6">
    <cfRule type="expression" priority="11" dxfId="1">
      <formula>G4=MAX($G$4:$G6)</formula>
    </cfRule>
    <cfRule type="expression" priority="12" dxfId="0">
      <formula>G4=MIN($G$4:$G6)</formula>
    </cfRule>
  </conditionalFormatting>
  <conditionalFormatting sqref="K4:K6">
    <cfRule type="expression" priority="13" dxfId="0">
      <formula>K4=MAX($K$4:$K6)</formula>
    </cfRule>
    <cfRule type="expression" priority="14" dxfId="1">
      <formula>K4=MIN($K$4:$K6)</formula>
    </cfRule>
  </conditionalFormatting>
  <conditionalFormatting sqref="L4:L6">
    <cfRule type="expression" priority="15" dxfId="0">
      <formula>L4=MAX($L$4:$L6)</formula>
    </cfRule>
    <cfRule type="expression" priority="16" dxfId="1">
      <formula>L4=MIN($L$4:$L6)</formula>
    </cfRule>
  </conditionalFormatting>
  <conditionalFormatting sqref="M4:M6">
    <cfRule type="expression" priority="17" dxfId="1">
      <formula>M4=MAX($M$4:$M6)</formula>
    </cfRule>
    <cfRule type="expression" priority="18" dxfId="0">
      <formula>M4=MIN($M$4:$M6)</formula>
    </cfRule>
  </conditionalFormatting>
  <conditionalFormatting sqref="N4:N6">
    <cfRule type="expression" priority="19" dxfId="1">
      <formula>N4=MAX($N$4:$N6)</formula>
    </cfRule>
    <cfRule type="expression" priority="20" dxfId="0">
      <formula>N4=MIN($N$4:$N6)</formula>
    </cfRule>
  </conditionalFormatting>
  <conditionalFormatting sqref="O4:O6">
    <cfRule type="expression" priority="21" dxfId="1">
      <formula>O4=MAX($O$4:$O6)</formula>
    </cfRule>
    <cfRule type="expression" priority="22" dxfId="0">
      <formula>O4=MIN($O$4:$O6)</formula>
    </cfRule>
  </conditionalFormatting>
  <conditionalFormatting sqref="P4:P6">
    <cfRule type="expression" priority="23" dxfId="1">
      <formula>P4=MAX($P$4:$P6)</formula>
    </cfRule>
    <cfRule type="expression" priority="24" dxfId="0">
      <formula>P4=MIN($P$4:$P6)</formula>
    </cfRule>
  </conditionalFormatting>
  <conditionalFormatting sqref="T4:T6">
    <cfRule type="expression" priority="25" dxfId="0">
      <formula>T4=MAX($T$4:$T6)</formula>
    </cfRule>
    <cfRule type="expression" priority="26" dxfId="1">
      <formula>T4=MIN($T$4:$T6)</formula>
    </cfRule>
  </conditionalFormatting>
  <conditionalFormatting sqref="U4:U6">
    <cfRule type="expression" priority="27" dxfId="0">
      <formula>U4=MAX($U$4:$U6)</formula>
    </cfRule>
    <cfRule type="expression" priority="28" dxfId="1">
      <formula>U4=MIN($U$4:$U6)</formula>
    </cfRule>
  </conditionalFormatting>
  <conditionalFormatting sqref="V4:V6">
    <cfRule type="expression" priority="29" dxfId="1">
      <formula>V4=MAX($V$4:$V6)</formula>
    </cfRule>
    <cfRule type="expression" priority="30" dxfId="0">
      <formula>V4=MIN($V$4:$V6)</formula>
    </cfRule>
  </conditionalFormatting>
  <conditionalFormatting sqref="W4:W6">
    <cfRule type="expression" priority="31" dxfId="1">
      <formula>W4=MAX($W$4:$W6)</formula>
    </cfRule>
    <cfRule type="expression" priority="32" dxfId="0">
      <formula>W4=MIN($W$4:$W6)</formula>
    </cfRule>
  </conditionalFormatting>
  <conditionalFormatting sqref="X4:X6">
    <cfRule type="expression" priority="33" dxfId="1">
      <formula>X4=MAX($X$4:$X6)</formula>
    </cfRule>
    <cfRule type="expression" priority="34" dxfId="0">
      <formula>X4=MIN($X$4:$X6)</formula>
    </cfRule>
  </conditionalFormatting>
  <conditionalFormatting sqref="Y4:Y6">
    <cfRule type="expression" priority="35" dxfId="1">
      <formula>Y4=MAX($Y$4:$Y6)</formula>
    </cfRule>
    <cfRule type="expression" priority="36" dxfId="0">
      <formula>Y4=MIN($Y$4:$Y6)</formula>
    </cfRule>
  </conditionalFormatting>
  <conditionalFormatting sqref="B12:B14">
    <cfRule type="expression" priority="37" dxfId="0">
      <formula>B12=MAX($B$12:$B14)</formula>
    </cfRule>
    <cfRule type="expression" priority="38" dxfId="1">
      <formula>B12=MIN($B$12:$B14)</formula>
    </cfRule>
  </conditionalFormatting>
  <conditionalFormatting sqref="C12:C14">
    <cfRule type="expression" priority="39" dxfId="0">
      <formula>C12=MAX($C$12:$C14)</formula>
    </cfRule>
    <cfRule type="expression" priority="40" dxfId="1">
      <formula>C12=MIN($C$12:$C14)</formula>
    </cfRule>
  </conditionalFormatting>
  <conditionalFormatting sqref="D12:D14">
    <cfRule type="expression" priority="41" dxfId="1">
      <formula>D12=MAX($D$12:$D14)</formula>
    </cfRule>
    <cfRule type="expression" priority="42" dxfId="0">
      <formula>D12=MIN($D$12:$D14)</formula>
    </cfRule>
  </conditionalFormatting>
  <conditionalFormatting sqref="E12:E14">
    <cfRule type="expression" priority="43" dxfId="1">
      <formula>E12=MAX($E$12:$E14)</formula>
    </cfRule>
    <cfRule type="expression" priority="44" dxfId="0">
      <formula>E12=MIN($E$12:$E14)</formula>
    </cfRule>
  </conditionalFormatting>
  <conditionalFormatting sqref="F12:F14">
    <cfRule type="expression" priority="45" dxfId="1">
      <formula>F12=MAX($F$12:$F14)</formula>
    </cfRule>
    <cfRule type="expression" priority="46" dxfId="0">
      <formula>F12=MIN($F$12:$F14)</formula>
    </cfRule>
  </conditionalFormatting>
  <conditionalFormatting sqref="G12:G14">
    <cfRule type="expression" priority="47" dxfId="1">
      <formula>G12=MAX($G$12:$G14)</formula>
    </cfRule>
    <cfRule type="expression" priority="48" dxfId="0">
      <formula>G12=MIN($G$12:$G14)</formula>
    </cfRule>
  </conditionalFormatting>
  <conditionalFormatting sqref="K12:K14">
    <cfRule type="expression" priority="49" dxfId="0">
      <formula>K12=MAX($K$12:$K14)</formula>
    </cfRule>
    <cfRule type="expression" priority="50" dxfId="1">
      <formula>K12=MIN($K$12:$K14)</formula>
    </cfRule>
  </conditionalFormatting>
  <conditionalFormatting sqref="L12:L14">
    <cfRule type="expression" priority="51" dxfId="0">
      <formula>L12=MAX($L$12:$L14)</formula>
    </cfRule>
    <cfRule type="expression" priority="52" dxfId="1">
      <formula>L12=MIN($L$12:$L14)</formula>
    </cfRule>
  </conditionalFormatting>
  <conditionalFormatting sqref="M12:M14">
    <cfRule type="expression" priority="53" dxfId="1">
      <formula>M12=MAX($M$12:$M14)</formula>
    </cfRule>
    <cfRule type="expression" priority="54" dxfId="0">
      <formula>M12=MIN($M$12:$M14)</formula>
    </cfRule>
  </conditionalFormatting>
  <conditionalFormatting sqref="N12:N14">
    <cfRule type="expression" priority="55" dxfId="1">
      <formula>N12=MAX($N$12:$N14)</formula>
    </cfRule>
    <cfRule type="expression" priority="56" dxfId="0">
      <formula>N12=MIN($N$12:$N14)</formula>
    </cfRule>
  </conditionalFormatting>
  <conditionalFormatting sqref="O12:O14">
    <cfRule type="expression" priority="57" dxfId="1">
      <formula>O12=MAX($O$12:$O14)</formula>
    </cfRule>
    <cfRule type="expression" priority="58" dxfId="0">
      <formula>O12=MIN($O$12:$O14)</formula>
    </cfRule>
  </conditionalFormatting>
  <conditionalFormatting sqref="P12:P14">
    <cfRule type="expression" priority="59" dxfId="1">
      <formula>P12=MAX($P$12:$P14)</formula>
    </cfRule>
    <cfRule type="expression" priority="60" dxfId="0">
      <formula>P12=MIN($P$12:$P14)</formula>
    </cfRule>
  </conditionalFormatting>
  <conditionalFormatting sqref="T12:T14">
    <cfRule type="expression" priority="61" dxfId="0">
      <formula>T12=MAX($T$12:$T14)</formula>
    </cfRule>
    <cfRule type="expression" priority="62" dxfId="1">
      <formula>T12=MIN($T$12:$T14)</formula>
    </cfRule>
  </conditionalFormatting>
  <conditionalFormatting sqref="U12:U14">
    <cfRule type="expression" priority="63" dxfId="0">
      <formula>U12=MAX($U$12:$U14)</formula>
    </cfRule>
    <cfRule type="expression" priority="64" dxfId="1">
      <formula>U12=MIN($U$12:$U14)</formula>
    </cfRule>
  </conditionalFormatting>
  <conditionalFormatting sqref="V12:V14">
    <cfRule type="expression" priority="65" dxfId="1">
      <formula>V12=MAX($V$12:$V14)</formula>
    </cfRule>
    <cfRule type="expression" priority="66" dxfId="0">
      <formula>V12=MIN($V$12:$V14)</formula>
    </cfRule>
  </conditionalFormatting>
  <conditionalFormatting sqref="W12:W14">
    <cfRule type="expression" priority="67" dxfId="1">
      <formula>W12=MAX($W$12:$W14)</formula>
    </cfRule>
    <cfRule type="expression" priority="68" dxfId="0">
      <formula>W12=MIN($W$12:$W14)</formula>
    </cfRule>
  </conditionalFormatting>
  <conditionalFormatting sqref="X12:X14">
    <cfRule type="expression" priority="69" dxfId="1">
      <formula>X12=MAX($X$12:$X14)</formula>
    </cfRule>
    <cfRule type="expression" priority="70" dxfId="0">
      <formula>X12=MIN($X$12:$X14)</formula>
    </cfRule>
  </conditionalFormatting>
  <conditionalFormatting sqref="Y12:Y14">
    <cfRule type="expression" priority="71" dxfId="1">
      <formula>Y12=MAX($Y$12:$Y14)</formula>
    </cfRule>
    <cfRule type="expression" priority="72" dxfId="0">
      <formula>Y12=MIN($Y$12:$Y14)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</cols>
  <sheetData>
    <row r="1">
      <c r="A1" s="1" t="inlineStr">
        <is>
          <t>FR</t>
        </is>
      </c>
    </row>
    <row r="2">
      <c r="B2" s="2" t="inlineStr">
        <is>
          <t>Réponse détaillée, sans image</t>
        </is>
      </c>
      <c r="C2" s="3" t="n"/>
      <c r="D2" s="3" t="n"/>
      <c r="E2" s="3" t="n"/>
      <c r="F2" s="4" t="n"/>
      <c r="J2" s="2" t="inlineStr">
        <is>
          <t>Réponse synthétique, sans image</t>
        </is>
      </c>
      <c r="K2" s="3" t="n"/>
      <c r="L2" s="3" t="n"/>
      <c r="M2" s="3" t="n"/>
      <c r="N2" s="4" t="n"/>
      <c r="R2" s="2" t="inlineStr">
        <is>
          <t>Réponse avec image</t>
        </is>
      </c>
      <c r="S2" s="3" t="n"/>
      <c r="T2" s="3" t="n"/>
      <c r="U2" s="3" t="n"/>
      <c r="V2" s="4" t="n"/>
    </row>
    <row r="3">
      <c r="A3" s="12" t="inlineStr">
        <is>
          <t>N° Problème</t>
        </is>
      </c>
      <c r="B3" s="12" t="inlineStr">
        <is>
          <t>Longueur de réponse</t>
        </is>
      </c>
      <c r="C3" s="13" t="inlineStr">
        <is>
          <t>Nombre de mots</t>
        </is>
      </c>
      <c r="D3" s="13" t="inlineStr">
        <is>
          <t>Densité d'information utile</t>
        </is>
      </c>
      <c r="E3" s="13" t="inlineStr">
        <is>
          <t>Note de réussite</t>
        </is>
      </c>
      <c r="F3" s="14" t="inlineStr">
        <is>
          <t>Similarité syntaxique</t>
        </is>
      </c>
      <c r="I3" s="12" t="inlineStr">
        <is>
          <t>N° Problème</t>
        </is>
      </c>
      <c r="J3" s="12" t="inlineStr">
        <is>
          <t>Longueur de réponse</t>
        </is>
      </c>
      <c r="K3" s="13" t="inlineStr">
        <is>
          <t>Nombre de mots</t>
        </is>
      </c>
      <c r="L3" s="13" t="inlineStr">
        <is>
          <t>Densité d'information utile</t>
        </is>
      </c>
      <c r="M3" s="13" t="inlineStr">
        <is>
          <t>Note de réussite</t>
        </is>
      </c>
      <c r="N3" s="14" t="inlineStr">
        <is>
          <t>Similarité syntaxique</t>
        </is>
      </c>
      <c r="Q3" s="12" t="inlineStr">
        <is>
          <t>N° Problème</t>
        </is>
      </c>
      <c r="R3" s="12" t="inlineStr">
        <is>
          <t>Longueur de réponse</t>
        </is>
      </c>
      <c r="S3" s="13" t="inlineStr">
        <is>
          <t>Nombre de mots</t>
        </is>
      </c>
      <c r="T3" s="13" t="inlineStr">
        <is>
          <t>Densité d'information utile</t>
        </is>
      </c>
      <c r="U3" s="13" t="inlineStr">
        <is>
          <t>Note de réussite</t>
        </is>
      </c>
      <c r="V3" s="14" t="inlineStr">
        <is>
          <t>Similarité syntaxique</t>
        </is>
      </c>
    </row>
    <row r="4">
      <c r="A4" s="7" t="n">
        <v>1</v>
      </c>
      <c r="B4" s="7" t="n">
        <v>1301</v>
      </c>
      <c r="C4" t="n">
        <v>204</v>
      </c>
      <c r="D4" t="n">
        <v>0.2621060722521137</v>
      </c>
      <c r="E4" t="n">
        <v>8.5</v>
      </c>
      <c r="F4" s="15" t="n">
        <v>10</v>
      </c>
      <c r="I4" s="7" t="n">
        <v>1</v>
      </c>
      <c r="J4" s="7" t="n">
        <v>617</v>
      </c>
      <c r="K4" t="n">
        <v>95</v>
      </c>
      <c r="L4" t="n">
        <v>0.2317666126418152</v>
      </c>
      <c r="M4" t="n">
        <v>7.5</v>
      </c>
      <c r="N4" s="15" t="n">
        <v>10</v>
      </c>
      <c r="Q4" s="7" t="n">
        <v>1</v>
      </c>
      <c r="R4" s="7" t="n">
        <v>982</v>
      </c>
      <c r="S4" t="n">
        <v>165</v>
      </c>
      <c r="T4" t="n">
        <v>0.2138492871690428</v>
      </c>
      <c r="U4" t="n">
        <v>9</v>
      </c>
      <c r="V4" s="15" t="n">
        <v>8</v>
      </c>
    </row>
    <row r="5">
      <c r="A5" s="7" t="n">
        <v>2</v>
      </c>
      <c r="B5" s="7" t="n">
        <v>1167</v>
      </c>
      <c r="C5" t="n">
        <v>187</v>
      </c>
      <c r="D5" t="n">
        <v>0.1456726649528706</v>
      </c>
      <c r="E5" t="n">
        <v>9</v>
      </c>
      <c r="F5" s="15" t="n">
        <v>10</v>
      </c>
      <c r="I5" s="7" t="n">
        <v>2</v>
      </c>
      <c r="J5" s="7" t="n">
        <v>494</v>
      </c>
      <c r="K5" t="n">
        <v>79</v>
      </c>
      <c r="L5" t="n">
        <v>0.2712550607287449</v>
      </c>
      <c r="M5" t="n">
        <v>8.5</v>
      </c>
      <c r="N5" s="15" t="n">
        <v>9</v>
      </c>
      <c r="Q5" s="7" t="n">
        <v>2</v>
      </c>
      <c r="R5" s="7" t="n">
        <v>949</v>
      </c>
      <c r="S5" t="n">
        <v>148</v>
      </c>
      <c r="T5" t="n">
        <v>0.1580611169652266</v>
      </c>
      <c r="U5" t="n">
        <v>10</v>
      </c>
      <c r="V5" s="15" t="n">
        <v>9</v>
      </c>
    </row>
    <row r="6">
      <c r="A6" s="7" t="n">
        <v>3</v>
      </c>
      <c r="B6" s="7" t="n">
        <v>1146</v>
      </c>
      <c r="C6" t="n">
        <v>195</v>
      </c>
      <c r="D6" t="n">
        <v>0</v>
      </c>
      <c r="E6" t="n">
        <v>0</v>
      </c>
      <c r="F6" s="15" t="n">
        <v>4</v>
      </c>
      <c r="I6" s="7" t="n">
        <v>3</v>
      </c>
      <c r="J6" s="7" t="n">
        <v>554</v>
      </c>
      <c r="K6" t="n">
        <v>96</v>
      </c>
      <c r="L6" t="n">
        <v>0</v>
      </c>
      <c r="M6" t="n">
        <v>0</v>
      </c>
      <c r="N6" s="15" t="n">
        <v>5</v>
      </c>
      <c r="Q6" s="7" t="n">
        <v>3</v>
      </c>
      <c r="R6" s="7" t="n">
        <v>1845</v>
      </c>
      <c r="S6" t="n">
        <v>297</v>
      </c>
      <c r="T6" t="n">
        <v>0</v>
      </c>
      <c r="U6" t="n">
        <v>0</v>
      </c>
      <c r="V6" s="15" t="n">
        <v>7</v>
      </c>
    </row>
    <row r="7">
      <c r="A7" s="7" t="n">
        <v>4</v>
      </c>
      <c r="B7" s="7" t="n">
        <v>1576</v>
      </c>
      <c r="C7" t="n">
        <v>239</v>
      </c>
      <c r="D7" t="n">
        <v>0.1237309644670051</v>
      </c>
      <c r="E7" t="n">
        <v>9</v>
      </c>
      <c r="F7" s="15" t="n">
        <v>10</v>
      </c>
      <c r="I7" s="7" t="n">
        <v>4</v>
      </c>
      <c r="J7" s="7" t="n">
        <v>662</v>
      </c>
      <c r="K7" t="n">
        <v>112</v>
      </c>
      <c r="L7" t="n">
        <v>0.1102719033232628</v>
      </c>
      <c r="M7" t="n">
        <v>4</v>
      </c>
      <c r="N7" s="15" t="n">
        <v>8</v>
      </c>
      <c r="Q7" s="7" t="n">
        <v>4</v>
      </c>
      <c r="R7" s="7" t="n">
        <v>1111</v>
      </c>
      <c r="S7" t="n">
        <v>173</v>
      </c>
      <c r="T7" t="n">
        <v>0.1476147614761476</v>
      </c>
      <c r="U7" t="n">
        <v>7</v>
      </c>
      <c r="V7" s="15" t="n">
        <v>10</v>
      </c>
    </row>
    <row r="8">
      <c r="A8" s="7" t="n">
        <v>5</v>
      </c>
      <c r="B8" s="7" t="n">
        <v>2468</v>
      </c>
      <c r="C8" t="n">
        <v>341</v>
      </c>
      <c r="D8" t="n">
        <v>0.2755267423014587</v>
      </c>
      <c r="E8" t="n">
        <v>10</v>
      </c>
      <c r="F8" s="15" t="n">
        <v>6.5</v>
      </c>
      <c r="I8" s="7" t="n">
        <v>5</v>
      </c>
      <c r="J8" s="7" t="n">
        <v>1697</v>
      </c>
      <c r="K8" t="n">
        <v>229</v>
      </c>
      <c r="L8" t="n">
        <v>0.3730111962286388</v>
      </c>
      <c r="M8" t="n">
        <v>10</v>
      </c>
      <c r="N8" s="15" t="n">
        <v>4.5</v>
      </c>
      <c r="Q8" s="7" t="n">
        <v>5</v>
      </c>
      <c r="R8" s="7" t="n">
        <v>2175</v>
      </c>
      <c r="S8" t="n">
        <v>272</v>
      </c>
      <c r="T8" t="n">
        <v>0.2749425287356322</v>
      </c>
      <c r="U8" t="n">
        <v>10</v>
      </c>
      <c r="V8" s="15" t="n">
        <v>6.5</v>
      </c>
    </row>
    <row r="9">
      <c r="A9" s="7" t="n">
        <v>6</v>
      </c>
      <c r="B9" s="7" t="n">
        <v>1587</v>
      </c>
      <c r="C9" t="n">
        <v>220</v>
      </c>
      <c r="D9" t="n">
        <v>0.3988657844990548</v>
      </c>
      <c r="E9" t="n">
        <v>9</v>
      </c>
      <c r="F9" s="15" t="n">
        <v>8</v>
      </c>
      <c r="I9" s="7" t="n">
        <v>6</v>
      </c>
      <c r="J9" s="7" t="n">
        <v>934</v>
      </c>
      <c r="K9" t="n">
        <v>118</v>
      </c>
      <c r="L9" t="n">
        <v>0.5845824411134903</v>
      </c>
      <c r="M9" t="n">
        <v>6.5</v>
      </c>
      <c r="N9" s="15" t="n">
        <v>7</v>
      </c>
      <c r="Q9" s="7" t="n">
        <v>6</v>
      </c>
      <c r="R9" s="7" t="n">
        <v>1327</v>
      </c>
      <c r="S9" t="n">
        <v>175</v>
      </c>
      <c r="T9" t="n">
        <v>0.2509419743782969</v>
      </c>
      <c r="U9" t="n">
        <v>9</v>
      </c>
      <c r="V9" s="15" t="n">
        <v>8</v>
      </c>
    </row>
    <row r="10">
      <c r="A10" s="7" t="n">
        <v>7</v>
      </c>
      <c r="B10" s="7" t="n">
        <v>1531</v>
      </c>
      <c r="C10" t="n">
        <v>223</v>
      </c>
      <c r="D10" t="n">
        <v>0.1521881123448726</v>
      </c>
      <c r="E10" t="n">
        <v>10</v>
      </c>
      <c r="F10" s="15" t="n">
        <v>4.5</v>
      </c>
      <c r="I10" s="7" t="n">
        <v>7</v>
      </c>
      <c r="J10" s="7" t="n">
        <v>970</v>
      </c>
      <c r="K10" t="n">
        <v>126</v>
      </c>
      <c r="L10" t="n">
        <v>0.3103092783505155</v>
      </c>
      <c r="M10" t="n">
        <v>10</v>
      </c>
      <c r="N10" s="15" t="n">
        <v>1</v>
      </c>
      <c r="Q10" s="7" t="n">
        <v>7</v>
      </c>
      <c r="R10" s="7" t="n">
        <v>1017</v>
      </c>
      <c r="S10" t="n">
        <v>194</v>
      </c>
      <c r="T10" t="n">
        <v>0.1081612586037365</v>
      </c>
      <c r="U10" t="n">
        <v>10</v>
      </c>
      <c r="V10" s="15" t="n">
        <v>3.5</v>
      </c>
    </row>
    <row r="11">
      <c r="A11" s="7" t="n">
        <v>8</v>
      </c>
      <c r="B11" s="7" t="n">
        <v>2725</v>
      </c>
      <c r="C11" t="n">
        <v>397</v>
      </c>
      <c r="D11" t="n">
        <v>0.2088073394495413</v>
      </c>
      <c r="E11" t="n">
        <v>7</v>
      </c>
      <c r="F11" s="15" t="n">
        <v>10</v>
      </c>
      <c r="I11" s="7" t="n">
        <v>8</v>
      </c>
      <c r="J11" s="7" t="n">
        <v>1136</v>
      </c>
      <c r="K11" t="n">
        <v>154</v>
      </c>
      <c r="L11" t="n">
        <v>0.3186619718309859</v>
      </c>
      <c r="M11" t="n">
        <v>7</v>
      </c>
      <c r="N11" s="15" t="n">
        <v>8.5</v>
      </c>
      <c r="Q11" s="7" t="n">
        <v>8</v>
      </c>
      <c r="R11" s="7" t="n">
        <v>2373</v>
      </c>
      <c r="S11" t="n">
        <v>372</v>
      </c>
      <c r="T11" t="n">
        <v>0.2347239780868099</v>
      </c>
      <c r="U11" t="n">
        <v>7</v>
      </c>
      <c r="V11" s="15" t="n">
        <v>9</v>
      </c>
    </row>
    <row r="12">
      <c r="A12" s="7" t="n">
        <v>9</v>
      </c>
      <c r="B12" s="7" t="n">
        <v>1469</v>
      </c>
      <c r="C12" t="n">
        <v>240</v>
      </c>
      <c r="D12" t="n">
        <v>0.08032675289312458</v>
      </c>
      <c r="E12" t="n">
        <v>6.5</v>
      </c>
      <c r="F12" s="15" t="n">
        <v>7</v>
      </c>
      <c r="I12" s="7" t="n">
        <v>9</v>
      </c>
      <c r="J12" s="7" t="n">
        <v>624</v>
      </c>
      <c r="K12" t="n">
        <v>79</v>
      </c>
      <c r="L12" t="n">
        <v>0</v>
      </c>
      <c r="M12" t="n">
        <v>6</v>
      </c>
      <c r="N12" s="15" t="n">
        <v>5</v>
      </c>
      <c r="Q12" s="7" t="n">
        <v>9</v>
      </c>
      <c r="R12" s="7" t="n">
        <v>1212</v>
      </c>
      <c r="S12" t="n">
        <v>176</v>
      </c>
      <c r="T12" t="n">
        <v>0</v>
      </c>
      <c r="U12" t="n">
        <v>8</v>
      </c>
      <c r="V12" s="15" t="n">
        <v>8</v>
      </c>
    </row>
    <row r="13">
      <c r="A13" s="7" t="n">
        <v>10</v>
      </c>
      <c r="B13" s="7" t="n">
        <v>927</v>
      </c>
      <c r="C13" t="n">
        <v>164</v>
      </c>
      <c r="D13" t="n">
        <v>0</v>
      </c>
      <c r="E13" t="n">
        <v>10</v>
      </c>
      <c r="F13" s="15" t="n">
        <v>7.5</v>
      </c>
      <c r="I13" s="7" t="n">
        <v>10</v>
      </c>
      <c r="J13" s="7" t="n">
        <v>622</v>
      </c>
      <c r="K13" t="n">
        <v>96</v>
      </c>
      <c r="L13" t="n">
        <v>0</v>
      </c>
      <c r="M13" t="n">
        <v>7.5</v>
      </c>
      <c r="N13" s="15" t="n">
        <v>2</v>
      </c>
      <c r="Q13" s="7" t="n">
        <v>10</v>
      </c>
      <c r="R13" s="7" t="n">
        <v>1362</v>
      </c>
      <c r="S13" t="n">
        <v>197</v>
      </c>
      <c r="T13" t="n">
        <v>0</v>
      </c>
      <c r="U13" t="n">
        <v>5.5</v>
      </c>
      <c r="V13" s="15" t="n">
        <v>5</v>
      </c>
    </row>
    <row r="14">
      <c r="A14" s="9" t="n">
        <v>11</v>
      </c>
      <c r="B14" s="9" t="n">
        <v>1585</v>
      </c>
      <c r="C14" s="10" t="n">
        <v>238</v>
      </c>
      <c r="D14" s="10" t="n">
        <v>0</v>
      </c>
      <c r="E14" s="10" t="n">
        <v>2.5</v>
      </c>
      <c r="F14" s="16" t="n">
        <v>6</v>
      </c>
      <c r="I14" s="9" t="n">
        <v>11</v>
      </c>
      <c r="J14" s="9" t="n">
        <v>532</v>
      </c>
      <c r="K14" s="10" t="n">
        <v>77</v>
      </c>
      <c r="L14" s="10" t="n">
        <v>0</v>
      </c>
      <c r="M14" s="10" t="n">
        <v>5</v>
      </c>
      <c r="N14" s="16" t="n">
        <v>3</v>
      </c>
      <c r="Q14" s="9" t="n">
        <v>11</v>
      </c>
      <c r="R14" s="9" t="n">
        <v>1241</v>
      </c>
      <c r="S14" s="10" t="n">
        <v>130</v>
      </c>
      <c r="T14" s="10" t="n">
        <v>0</v>
      </c>
      <c r="U14" s="10" t="n">
        <v>10</v>
      </c>
      <c r="V14" s="16" t="n">
        <v>5</v>
      </c>
    </row>
    <row r="15"/>
    <row r="16"/>
    <row r="17">
      <c r="A17" s="1" t="inlineStr">
        <is>
          <t>EN</t>
        </is>
      </c>
    </row>
    <row r="18">
      <c r="B18" s="2" t="inlineStr">
        <is>
          <t>Réponse détaillée, sans image</t>
        </is>
      </c>
      <c r="C18" s="3" t="n"/>
      <c r="D18" s="3" t="n"/>
      <c r="E18" s="3" t="n"/>
      <c r="F18" s="4" t="n"/>
      <c r="J18" s="2" t="inlineStr">
        <is>
          <t>Réponse synthétique, sans image</t>
        </is>
      </c>
      <c r="K18" s="3" t="n"/>
      <c r="L18" s="3" t="n"/>
      <c r="M18" s="3" t="n"/>
      <c r="N18" s="4" t="n"/>
      <c r="R18" s="2" t="inlineStr">
        <is>
          <t>Réponse avec image</t>
        </is>
      </c>
      <c r="S18" s="3" t="n"/>
      <c r="T18" s="3" t="n"/>
      <c r="U18" s="3" t="n"/>
      <c r="V18" s="4" t="n"/>
    </row>
    <row r="19">
      <c r="A19" s="12" t="inlineStr">
        <is>
          <t>N° Problème</t>
        </is>
      </c>
      <c r="B19" s="12" t="inlineStr">
        <is>
          <t>Longueur de réponse</t>
        </is>
      </c>
      <c r="C19" s="13" t="inlineStr">
        <is>
          <t>Nombre de mots</t>
        </is>
      </c>
      <c r="D19" s="13" t="inlineStr">
        <is>
          <t>Densité d'information utile</t>
        </is>
      </c>
      <c r="E19" s="13" t="inlineStr">
        <is>
          <t>Note de réussite</t>
        </is>
      </c>
      <c r="F19" s="14" t="inlineStr">
        <is>
          <t>Similarité syntaxique</t>
        </is>
      </c>
      <c r="I19" s="12" t="inlineStr">
        <is>
          <t>N° Problème</t>
        </is>
      </c>
      <c r="J19" s="12" t="inlineStr">
        <is>
          <t>Longueur de réponse</t>
        </is>
      </c>
      <c r="K19" s="13" t="inlineStr">
        <is>
          <t>Nombre de mots</t>
        </is>
      </c>
      <c r="L19" s="13" t="inlineStr">
        <is>
          <t>Densité d'information utile</t>
        </is>
      </c>
      <c r="M19" s="13" t="inlineStr">
        <is>
          <t>Note de réussite</t>
        </is>
      </c>
      <c r="N19" s="14" t="inlineStr">
        <is>
          <t>Similarité syntaxique</t>
        </is>
      </c>
      <c r="Q19" s="12" t="inlineStr">
        <is>
          <t>N° Problème</t>
        </is>
      </c>
      <c r="R19" s="12" t="inlineStr">
        <is>
          <t>Longueur de réponse</t>
        </is>
      </c>
      <c r="S19" s="13" t="inlineStr">
        <is>
          <t>Nombre de mots</t>
        </is>
      </c>
      <c r="T19" s="13" t="inlineStr">
        <is>
          <t>Densité d'information utile</t>
        </is>
      </c>
      <c r="U19" s="13" t="inlineStr">
        <is>
          <t>Note de réussite</t>
        </is>
      </c>
      <c r="V19" s="14" t="inlineStr">
        <is>
          <t>Similarité syntaxique</t>
        </is>
      </c>
    </row>
    <row r="20">
      <c r="A20" s="7" t="n">
        <v>1</v>
      </c>
      <c r="B20" s="7" t="n">
        <v>1105</v>
      </c>
      <c r="C20" t="n">
        <v>140</v>
      </c>
      <c r="D20" t="n">
        <v>0.5140271493212669</v>
      </c>
      <c r="E20" t="n">
        <v>9</v>
      </c>
      <c r="F20" s="15" t="n">
        <v>6</v>
      </c>
      <c r="I20" s="7" t="n">
        <v>1</v>
      </c>
      <c r="J20" s="7" t="n">
        <v>418</v>
      </c>
      <c r="K20" t="n">
        <v>56</v>
      </c>
      <c r="L20" t="n">
        <v>0.5071770334928229</v>
      </c>
      <c r="M20" t="n">
        <v>6.5</v>
      </c>
      <c r="N20" s="15" t="n">
        <v>4</v>
      </c>
      <c r="Q20" s="7" t="n">
        <v>1</v>
      </c>
      <c r="R20" s="7" t="n">
        <v>1216</v>
      </c>
      <c r="S20" t="n">
        <v>179</v>
      </c>
      <c r="T20" t="n">
        <v>0.2705592105263158</v>
      </c>
      <c r="U20" t="n">
        <v>9</v>
      </c>
      <c r="V20" s="15" t="n">
        <v>4</v>
      </c>
    </row>
    <row r="21">
      <c r="A21" s="7" t="n">
        <v>2</v>
      </c>
      <c r="B21" s="7" t="n">
        <v>1251</v>
      </c>
      <c r="C21" t="n">
        <v>201</v>
      </c>
      <c r="D21" t="n">
        <v>0.1302957633892886</v>
      </c>
      <c r="E21" t="n">
        <v>0</v>
      </c>
      <c r="F21" s="15" t="n">
        <v>5</v>
      </c>
      <c r="I21" s="7" t="n">
        <v>2</v>
      </c>
      <c r="J21" s="7" t="n">
        <v>636</v>
      </c>
      <c r="K21" t="n">
        <v>101</v>
      </c>
      <c r="L21" t="n">
        <v>0.1792452830188679</v>
      </c>
      <c r="M21" t="n">
        <v>0</v>
      </c>
      <c r="N21" s="15" t="n">
        <v>7</v>
      </c>
      <c r="Q21" s="7" t="n">
        <v>2</v>
      </c>
      <c r="R21" s="7" t="n">
        <v>1074</v>
      </c>
      <c r="S21" t="n">
        <v>162</v>
      </c>
      <c r="T21" t="n">
        <v>0.1303538175046555</v>
      </c>
      <c r="U21" t="n">
        <v>0</v>
      </c>
      <c r="V21" s="15" t="n">
        <v>9</v>
      </c>
    </row>
    <row r="22">
      <c r="A22" s="7" t="n">
        <v>3</v>
      </c>
      <c r="B22" s="7" t="n">
        <v>1289</v>
      </c>
      <c r="C22" t="n">
        <v>193</v>
      </c>
      <c r="D22" t="n">
        <v>0</v>
      </c>
      <c r="E22" t="n">
        <v>9</v>
      </c>
      <c r="F22" s="15" t="n">
        <v>4</v>
      </c>
      <c r="I22" s="7" t="n">
        <v>3</v>
      </c>
      <c r="J22" s="7" t="n">
        <v>710</v>
      </c>
      <c r="K22" t="n">
        <v>116</v>
      </c>
      <c r="L22" t="n">
        <v>0</v>
      </c>
      <c r="M22" t="n">
        <v>6.5</v>
      </c>
      <c r="N22" s="15" t="n">
        <v>4</v>
      </c>
      <c r="Q22" s="7" t="n">
        <v>3</v>
      </c>
      <c r="R22" s="7" t="n">
        <v>1870</v>
      </c>
      <c r="S22" t="n">
        <v>282</v>
      </c>
      <c r="T22" t="n">
        <v>0</v>
      </c>
      <c r="U22" t="n">
        <v>6.5</v>
      </c>
      <c r="V22" s="15" t="n">
        <v>7</v>
      </c>
    </row>
    <row r="23">
      <c r="A23" s="7" t="n">
        <v>4</v>
      </c>
      <c r="B23" s="7" t="n">
        <v>1173</v>
      </c>
      <c r="C23" t="n">
        <v>179</v>
      </c>
      <c r="D23" t="n">
        <v>0.1125319693094629</v>
      </c>
      <c r="E23" t="n">
        <v>10</v>
      </c>
      <c r="F23" s="15" t="n">
        <v>8</v>
      </c>
      <c r="I23" s="7" t="n">
        <v>4</v>
      </c>
      <c r="J23" s="7" t="n">
        <v>805</v>
      </c>
      <c r="K23" t="n">
        <v>119</v>
      </c>
      <c r="L23" t="n">
        <v>0.1503105590062112</v>
      </c>
      <c r="M23" t="n">
        <v>10</v>
      </c>
      <c r="N23" s="15" t="n">
        <v>8</v>
      </c>
      <c r="Q23" s="7" t="n">
        <v>4</v>
      </c>
      <c r="R23" s="7" t="n">
        <v>1061</v>
      </c>
      <c r="S23" t="n">
        <v>166</v>
      </c>
      <c r="T23" t="n">
        <v>0.1705937794533459</v>
      </c>
      <c r="U23" t="n">
        <v>10</v>
      </c>
      <c r="V23" s="15" t="n">
        <v>10</v>
      </c>
    </row>
    <row r="24">
      <c r="A24" s="7" t="n">
        <v>5</v>
      </c>
      <c r="B24" s="7" t="n">
        <v>2446</v>
      </c>
      <c r="C24" t="n">
        <v>336</v>
      </c>
      <c r="D24" t="n">
        <v>0.2669664758789861</v>
      </c>
      <c r="E24" t="n">
        <v>8</v>
      </c>
      <c r="F24" s="15" t="n">
        <v>8</v>
      </c>
      <c r="I24" s="7" t="n">
        <v>5</v>
      </c>
      <c r="J24" s="7" t="n">
        <v>1378</v>
      </c>
      <c r="K24" t="n">
        <v>153</v>
      </c>
      <c r="L24" t="n">
        <v>0.4571843251088534</v>
      </c>
      <c r="M24" t="n">
        <v>6</v>
      </c>
      <c r="N24" s="15" t="n">
        <v>6</v>
      </c>
      <c r="Q24" s="7" t="n">
        <v>5</v>
      </c>
      <c r="R24" s="7" t="n">
        <v>2259</v>
      </c>
      <c r="S24" t="n">
        <v>314</v>
      </c>
      <c r="T24" t="n">
        <v>0.3448428508189464</v>
      </c>
      <c r="U24" t="n">
        <v>6</v>
      </c>
      <c r="V24" s="15" t="n">
        <v>6.5</v>
      </c>
    </row>
    <row r="25">
      <c r="A25" s="7" t="n">
        <v>6</v>
      </c>
      <c r="B25" s="7" t="n">
        <v>1747</v>
      </c>
      <c r="C25" t="n">
        <v>252</v>
      </c>
      <c r="D25" t="n">
        <v>0.3589009730967372</v>
      </c>
      <c r="E25" t="n">
        <v>10</v>
      </c>
      <c r="F25" s="15" t="n">
        <v>3.5</v>
      </c>
      <c r="I25" s="7" t="n">
        <v>6</v>
      </c>
      <c r="J25" s="7" t="n">
        <v>588</v>
      </c>
      <c r="K25" t="n">
        <v>75</v>
      </c>
      <c r="L25" t="n">
        <v>0.532312925170068</v>
      </c>
      <c r="M25" t="n">
        <v>10</v>
      </c>
      <c r="N25" s="15" t="n">
        <v>6</v>
      </c>
      <c r="Q25" s="7" t="n">
        <v>6</v>
      </c>
      <c r="R25" s="7" t="n">
        <v>1319</v>
      </c>
      <c r="S25" t="n">
        <v>182</v>
      </c>
      <c r="T25" t="n">
        <v>0.2934040940106141</v>
      </c>
      <c r="U25" t="n">
        <v>10</v>
      </c>
      <c r="V25" s="15" t="n">
        <v>4.5</v>
      </c>
    </row>
    <row r="26">
      <c r="A26" s="7" t="n">
        <v>7</v>
      </c>
      <c r="B26" s="7" t="n">
        <v>1756</v>
      </c>
      <c r="C26" t="n">
        <v>185</v>
      </c>
      <c r="D26" t="n">
        <v>0</v>
      </c>
      <c r="E26" t="n">
        <v>7</v>
      </c>
      <c r="F26" s="15" t="n">
        <v>2.5</v>
      </c>
      <c r="I26" s="7" t="n">
        <v>7</v>
      </c>
      <c r="J26" s="7" t="n">
        <v>1116</v>
      </c>
      <c r="K26" t="n">
        <v>105</v>
      </c>
      <c r="L26" t="n">
        <v>0</v>
      </c>
      <c r="M26" t="n">
        <v>6.5</v>
      </c>
      <c r="N26" s="15" t="n">
        <v>0</v>
      </c>
      <c r="Q26" s="7" t="n">
        <v>7</v>
      </c>
      <c r="R26" s="7" t="n">
        <v>1427</v>
      </c>
      <c r="S26" t="n">
        <v>203</v>
      </c>
      <c r="T26" t="n">
        <v>0.1758934828311142</v>
      </c>
      <c r="U26" t="n">
        <v>7</v>
      </c>
      <c r="V26" s="15" t="n">
        <v>4.5</v>
      </c>
    </row>
    <row r="27">
      <c r="A27" s="7" t="n">
        <v>8</v>
      </c>
      <c r="B27" s="7" t="n">
        <v>2555</v>
      </c>
      <c r="C27" t="n">
        <v>380</v>
      </c>
      <c r="D27" t="n">
        <v>0.2203522504892368</v>
      </c>
      <c r="E27" t="n">
        <v>7</v>
      </c>
      <c r="F27" s="15" t="n">
        <v>5.5</v>
      </c>
      <c r="I27" s="7" t="n">
        <v>8</v>
      </c>
      <c r="J27" s="7" t="n">
        <v>1310</v>
      </c>
      <c r="K27" t="n">
        <v>215</v>
      </c>
      <c r="L27" t="n">
        <v>0.2992366412213741</v>
      </c>
      <c r="M27" t="n">
        <v>5</v>
      </c>
      <c r="N27" s="15" t="n">
        <v>5</v>
      </c>
      <c r="Q27" s="7" t="n">
        <v>8</v>
      </c>
      <c r="R27" s="7" t="n">
        <v>2642</v>
      </c>
      <c r="S27" t="n">
        <v>368</v>
      </c>
      <c r="T27" t="n">
        <v>0.2706283118849356</v>
      </c>
      <c r="U27" t="n">
        <v>8.5</v>
      </c>
      <c r="V27" s="15" t="n">
        <v>8.5</v>
      </c>
    </row>
    <row r="28">
      <c r="A28" s="7" t="n">
        <v>9</v>
      </c>
      <c r="B28" s="7" t="n">
        <v>1523</v>
      </c>
      <c r="C28" t="n">
        <v>175</v>
      </c>
      <c r="D28" t="n">
        <v>0</v>
      </c>
      <c r="E28" t="n">
        <v>0.5</v>
      </c>
      <c r="F28" s="15" t="n">
        <v>2</v>
      </c>
      <c r="I28" s="7" t="n">
        <v>9</v>
      </c>
      <c r="J28" s="7" t="n">
        <v>733</v>
      </c>
      <c r="K28" t="n">
        <v>85</v>
      </c>
      <c r="L28" t="n">
        <v>0</v>
      </c>
      <c r="M28" t="n">
        <v>4.5</v>
      </c>
      <c r="N28" s="15" t="n">
        <v>0</v>
      </c>
      <c r="Q28" s="7" t="n">
        <v>9</v>
      </c>
      <c r="R28" s="7" t="n">
        <v>1395</v>
      </c>
      <c r="S28" t="n">
        <v>192</v>
      </c>
      <c r="T28" t="n">
        <v>0</v>
      </c>
      <c r="U28" t="n">
        <v>8.5</v>
      </c>
      <c r="V28" s="15" t="n">
        <v>2</v>
      </c>
    </row>
    <row r="29">
      <c r="A29" s="7" t="n">
        <v>10</v>
      </c>
      <c r="B29" s="7" t="n">
        <v>873</v>
      </c>
      <c r="C29" t="n">
        <v>137</v>
      </c>
      <c r="D29" t="n">
        <v>0</v>
      </c>
      <c r="E29" t="n">
        <v>5</v>
      </c>
      <c r="F29" s="15" t="n">
        <v>5.5</v>
      </c>
      <c r="I29" s="7" t="n">
        <v>10</v>
      </c>
      <c r="J29" s="7" t="n">
        <v>0</v>
      </c>
      <c r="K29" t="n">
        <v>0</v>
      </c>
      <c r="M29" t="n">
        <v>3</v>
      </c>
      <c r="N29" s="15" t="n">
        <v>0</v>
      </c>
      <c r="Q29" s="7" t="n">
        <v>10</v>
      </c>
      <c r="R29" s="7" t="n">
        <v>1320</v>
      </c>
      <c r="S29" t="n">
        <v>202</v>
      </c>
      <c r="T29" t="n">
        <v>0</v>
      </c>
      <c r="U29" t="n">
        <v>4</v>
      </c>
      <c r="V29" s="15" t="n">
        <v>4</v>
      </c>
    </row>
    <row r="30">
      <c r="A30" s="9" t="n">
        <v>11</v>
      </c>
      <c r="B30" s="9" t="n">
        <v>1418</v>
      </c>
      <c r="C30" s="10" t="n">
        <v>224</v>
      </c>
      <c r="D30" s="10" t="n">
        <v>0</v>
      </c>
      <c r="E30" s="10" t="n"/>
      <c r="F30" s="16" t="n">
        <v>5</v>
      </c>
      <c r="I30" s="9" t="n">
        <v>11</v>
      </c>
      <c r="J30" s="9" t="n">
        <v>1183</v>
      </c>
      <c r="K30" s="10" t="n">
        <v>144</v>
      </c>
      <c r="L30" s="10" t="n">
        <v>0</v>
      </c>
      <c r="M30" s="10" t="n"/>
      <c r="N30" s="16" t="n">
        <v>3</v>
      </c>
      <c r="Q30" s="9" t="n">
        <v>11</v>
      </c>
      <c r="R30" s="9" t="n">
        <v>2169</v>
      </c>
      <c r="S30" s="10" t="n">
        <v>303</v>
      </c>
      <c r="T30" s="10" t="n">
        <v>0</v>
      </c>
      <c r="U30" s="10" t="n"/>
      <c r="V30" s="16" t="n">
        <v>5</v>
      </c>
    </row>
  </sheetData>
  <mergeCells count="8">
    <mergeCell ref="A1:C1"/>
    <mergeCell ref="B2:F2"/>
    <mergeCell ref="J2:N2"/>
    <mergeCell ref="A17:C17"/>
    <mergeCell ref="R2:V2"/>
    <mergeCell ref="J18:N18"/>
    <mergeCell ref="R18:V18"/>
    <mergeCell ref="B18: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</cols>
  <sheetData>
    <row r="1">
      <c r="A1" s="1" t="inlineStr">
        <is>
          <t>FR</t>
        </is>
      </c>
    </row>
    <row r="2">
      <c r="B2" s="2" t="inlineStr">
        <is>
          <t>Réponse détaillée, sans image</t>
        </is>
      </c>
      <c r="C2" s="3" t="n"/>
      <c r="D2" s="3" t="n"/>
      <c r="E2" s="3" t="n"/>
      <c r="F2" s="4" t="n"/>
      <c r="J2" s="2" t="inlineStr">
        <is>
          <t>Réponse synthétique, sans image</t>
        </is>
      </c>
      <c r="K2" s="3" t="n"/>
      <c r="L2" s="3" t="n"/>
      <c r="M2" s="3" t="n"/>
      <c r="N2" s="4" t="n"/>
      <c r="R2" s="2" t="inlineStr">
        <is>
          <t>Réponse avec image</t>
        </is>
      </c>
      <c r="S2" s="3" t="n"/>
      <c r="T2" s="3" t="n"/>
      <c r="U2" s="3" t="n"/>
      <c r="V2" s="4" t="n"/>
    </row>
    <row r="3">
      <c r="A3" s="12" t="inlineStr">
        <is>
          <t>N° Problème</t>
        </is>
      </c>
      <c r="B3" s="12" t="inlineStr">
        <is>
          <t>Longueur de réponse</t>
        </is>
      </c>
      <c r="C3" s="13" t="inlineStr">
        <is>
          <t>Nombre de mots</t>
        </is>
      </c>
      <c r="D3" s="13" t="inlineStr">
        <is>
          <t>Densité d'information utile</t>
        </is>
      </c>
      <c r="E3" s="13" t="inlineStr">
        <is>
          <t>Note de réussite</t>
        </is>
      </c>
      <c r="F3" s="14" t="inlineStr">
        <is>
          <t>Similarité syntaxique</t>
        </is>
      </c>
      <c r="I3" s="12" t="inlineStr">
        <is>
          <t>N° Problème</t>
        </is>
      </c>
      <c r="J3" s="12" t="inlineStr">
        <is>
          <t>Longueur de réponse</t>
        </is>
      </c>
      <c r="K3" s="13" t="inlineStr">
        <is>
          <t>Nombre de mots</t>
        </is>
      </c>
      <c r="L3" s="13" t="inlineStr">
        <is>
          <t>Densité d'information utile</t>
        </is>
      </c>
      <c r="M3" s="13" t="inlineStr">
        <is>
          <t>Note de réussite</t>
        </is>
      </c>
      <c r="N3" s="14" t="inlineStr">
        <is>
          <t>Similarité syntaxique</t>
        </is>
      </c>
      <c r="Q3" s="12" t="inlineStr">
        <is>
          <t>N° Problème</t>
        </is>
      </c>
      <c r="R3" s="12" t="inlineStr">
        <is>
          <t>Longueur de réponse</t>
        </is>
      </c>
      <c r="S3" s="13" t="inlineStr">
        <is>
          <t>Nombre de mots</t>
        </is>
      </c>
      <c r="T3" s="13" t="inlineStr">
        <is>
          <t>Densité d'information utile</t>
        </is>
      </c>
      <c r="U3" s="13" t="inlineStr">
        <is>
          <t>Note de réussite</t>
        </is>
      </c>
      <c r="V3" s="14" t="inlineStr">
        <is>
          <t>Similarité syntaxique</t>
        </is>
      </c>
    </row>
    <row r="4">
      <c r="A4" s="7" t="n">
        <v>1</v>
      </c>
      <c r="B4" s="7" t="n">
        <v>2279</v>
      </c>
      <c r="C4" t="n">
        <v>341</v>
      </c>
      <c r="D4" t="n">
        <v>0.1544537077665643</v>
      </c>
      <c r="E4" t="n">
        <v>9</v>
      </c>
      <c r="F4" s="15" t="n">
        <v>9</v>
      </c>
      <c r="I4" s="7" t="n">
        <v>1</v>
      </c>
      <c r="J4" s="7" t="n">
        <v>860</v>
      </c>
      <c r="K4" t="n">
        <v>125</v>
      </c>
      <c r="L4" t="n">
        <v>0.2162790697674419</v>
      </c>
      <c r="M4" t="n">
        <v>8.5</v>
      </c>
      <c r="N4" s="15" t="n">
        <v>7</v>
      </c>
      <c r="Q4" s="7" t="n">
        <v>1</v>
      </c>
      <c r="R4" s="7" t="n">
        <v>2035</v>
      </c>
      <c r="S4" t="n">
        <v>315</v>
      </c>
      <c r="T4" t="n">
        <v>0.1818181818181818</v>
      </c>
      <c r="U4" t="n">
        <v>10</v>
      </c>
      <c r="V4" s="15" t="n">
        <v>7</v>
      </c>
    </row>
    <row r="5">
      <c r="A5" s="7" t="n">
        <v>2</v>
      </c>
      <c r="B5" s="7" t="n">
        <v>2053</v>
      </c>
      <c r="C5" t="n">
        <v>310</v>
      </c>
      <c r="D5" t="n">
        <v>0.106673161227472</v>
      </c>
      <c r="E5" t="n">
        <v>10</v>
      </c>
      <c r="F5" s="15" t="n">
        <v>9</v>
      </c>
      <c r="I5" s="7" t="n">
        <v>2</v>
      </c>
      <c r="J5" s="7" t="n">
        <v>904</v>
      </c>
      <c r="K5" t="n">
        <v>130</v>
      </c>
      <c r="L5" t="n">
        <v>0.2024336283185841</v>
      </c>
      <c r="M5" t="n">
        <v>10</v>
      </c>
      <c r="N5" s="15" t="n">
        <v>8</v>
      </c>
      <c r="Q5" s="7" t="n">
        <v>2</v>
      </c>
      <c r="R5" s="7" t="n">
        <v>1652</v>
      </c>
      <c r="S5" t="n">
        <v>250</v>
      </c>
      <c r="T5" t="n">
        <v>0.1331719128329298</v>
      </c>
      <c r="U5" t="n">
        <v>10</v>
      </c>
      <c r="V5" s="15" t="n">
        <v>8</v>
      </c>
    </row>
    <row r="6">
      <c r="A6" s="7" t="n">
        <v>3</v>
      </c>
      <c r="B6" s="7" t="n">
        <v>2366</v>
      </c>
      <c r="C6" t="n">
        <v>398</v>
      </c>
      <c r="D6" t="n">
        <v>0</v>
      </c>
      <c r="E6" t="n">
        <v>0</v>
      </c>
      <c r="F6" s="15" t="n">
        <v>7</v>
      </c>
      <c r="I6" s="7" t="n">
        <v>3</v>
      </c>
      <c r="J6" s="7" t="n">
        <v>877</v>
      </c>
      <c r="K6" t="n">
        <v>142</v>
      </c>
      <c r="L6" t="n">
        <v>0</v>
      </c>
      <c r="M6" t="n">
        <v>0</v>
      </c>
      <c r="N6" s="15" t="n">
        <v>10</v>
      </c>
      <c r="Q6" s="7" t="n">
        <v>3</v>
      </c>
      <c r="R6" s="7" t="n">
        <v>2969</v>
      </c>
      <c r="S6" t="n">
        <v>462</v>
      </c>
      <c r="T6" t="n">
        <v>0</v>
      </c>
      <c r="U6" t="n">
        <v>0</v>
      </c>
      <c r="V6" s="15" t="n">
        <v>7</v>
      </c>
    </row>
    <row r="7">
      <c r="A7" s="7" t="n">
        <v>4</v>
      </c>
      <c r="B7" s="7" t="n">
        <v>1958</v>
      </c>
      <c r="C7" t="n">
        <v>305</v>
      </c>
      <c r="D7" t="n">
        <v>0.09601634320735444</v>
      </c>
      <c r="E7" t="n">
        <v>8</v>
      </c>
      <c r="F7" s="15" t="n">
        <v>10</v>
      </c>
      <c r="I7" s="7" t="n">
        <v>4</v>
      </c>
      <c r="J7" s="7" t="n">
        <v>825</v>
      </c>
      <c r="K7" t="n">
        <v>129</v>
      </c>
      <c r="L7" t="n">
        <v>0.2157575757575758</v>
      </c>
      <c r="M7" t="n">
        <v>7</v>
      </c>
      <c r="N7" s="15" t="n">
        <v>10</v>
      </c>
      <c r="Q7" s="7" t="n">
        <v>4</v>
      </c>
      <c r="R7" s="7" t="n">
        <v>2224</v>
      </c>
      <c r="S7" t="n">
        <v>360</v>
      </c>
      <c r="T7" t="n">
        <v>0.125</v>
      </c>
      <c r="U7" t="n">
        <v>9.5</v>
      </c>
      <c r="V7" s="15" t="n">
        <v>10</v>
      </c>
    </row>
    <row r="8">
      <c r="A8" s="7" t="n">
        <v>5</v>
      </c>
      <c r="B8" s="7" t="n">
        <v>3096</v>
      </c>
      <c r="C8" t="n">
        <v>457</v>
      </c>
      <c r="D8" t="n">
        <v>0.2525839793281654</v>
      </c>
      <c r="E8" t="n">
        <v>10</v>
      </c>
      <c r="F8" s="15" t="n">
        <v>4.5</v>
      </c>
      <c r="I8" s="7" t="n">
        <v>5</v>
      </c>
      <c r="J8" s="7" t="n">
        <v>1891</v>
      </c>
      <c r="K8" t="n">
        <v>256</v>
      </c>
      <c r="L8" t="n">
        <v>0.4219989423585405</v>
      </c>
      <c r="M8" t="n">
        <v>9.5</v>
      </c>
      <c r="N8" s="15" t="n">
        <v>6.5</v>
      </c>
      <c r="Q8" s="7" t="n">
        <v>5</v>
      </c>
      <c r="R8" s="7" t="n">
        <v>3059</v>
      </c>
      <c r="S8" t="n">
        <v>428</v>
      </c>
      <c r="T8" t="n">
        <v>0.3275580254985289</v>
      </c>
      <c r="U8" t="n">
        <v>10</v>
      </c>
      <c r="V8" s="15" t="n">
        <v>6.5</v>
      </c>
    </row>
    <row r="9">
      <c r="A9" s="7" t="n">
        <v>6</v>
      </c>
      <c r="B9" s="7" t="n">
        <v>2462</v>
      </c>
      <c r="C9" t="n">
        <v>367</v>
      </c>
      <c r="D9" t="n">
        <v>0.293663688058489</v>
      </c>
      <c r="E9" t="n">
        <v>10</v>
      </c>
      <c r="F9" s="15" t="n">
        <v>7</v>
      </c>
      <c r="I9" s="7" t="n">
        <v>6</v>
      </c>
      <c r="J9" s="7" t="n">
        <v>1275</v>
      </c>
      <c r="K9" t="n">
        <v>176</v>
      </c>
      <c r="L9" t="n">
        <v>0.5294117647058824</v>
      </c>
      <c r="M9" t="n">
        <v>9</v>
      </c>
      <c r="N9" s="15" t="n">
        <v>7</v>
      </c>
      <c r="Q9" s="7" t="n">
        <v>6</v>
      </c>
      <c r="R9" s="7" t="n">
        <v>2118</v>
      </c>
      <c r="S9" t="n">
        <v>308</v>
      </c>
      <c r="T9" t="n">
        <v>0.3035882908404155</v>
      </c>
      <c r="U9" t="n">
        <v>10</v>
      </c>
      <c r="V9" s="15" t="n">
        <v>7</v>
      </c>
    </row>
    <row r="10">
      <c r="A10" s="7" t="n">
        <v>7</v>
      </c>
      <c r="B10" s="7" t="n">
        <v>2148</v>
      </c>
      <c r="C10" t="n">
        <v>319</v>
      </c>
      <c r="D10" t="n">
        <v>0.1121973929236499</v>
      </c>
      <c r="E10" t="n">
        <v>10</v>
      </c>
      <c r="F10" s="15" t="n">
        <v>4.5</v>
      </c>
      <c r="I10" s="7" t="n">
        <v>7</v>
      </c>
      <c r="J10" s="7" t="n">
        <v>1195</v>
      </c>
      <c r="K10" t="n">
        <v>172</v>
      </c>
      <c r="L10" t="n">
        <v>0.2301255230125523</v>
      </c>
      <c r="M10" t="n">
        <v>10</v>
      </c>
      <c r="N10" s="15" t="n">
        <v>3.5</v>
      </c>
      <c r="Q10" s="7" t="n">
        <v>7</v>
      </c>
      <c r="R10" s="7" t="n">
        <v>1694</v>
      </c>
      <c r="S10" t="n">
        <v>271</v>
      </c>
      <c r="T10" t="n">
        <v>0.06906729634002361</v>
      </c>
      <c r="U10" t="n">
        <v>10</v>
      </c>
      <c r="V10" s="15" t="n">
        <v>4.5</v>
      </c>
    </row>
    <row r="11">
      <c r="A11" s="7" t="n">
        <v>8</v>
      </c>
      <c r="B11" s="7" t="n">
        <v>3053</v>
      </c>
      <c r="C11" t="n">
        <v>477</v>
      </c>
      <c r="D11" t="n">
        <v>0.1988208319685555</v>
      </c>
      <c r="E11" t="n">
        <v>7</v>
      </c>
      <c r="F11" s="15" t="n">
        <v>8</v>
      </c>
      <c r="I11" s="7" t="n">
        <v>8</v>
      </c>
      <c r="J11" s="7" t="n">
        <v>1776</v>
      </c>
      <c r="K11" t="n">
        <v>275</v>
      </c>
      <c r="L11" t="n">
        <v>0.2449324324324324</v>
      </c>
      <c r="M11" t="n">
        <v>7</v>
      </c>
      <c r="N11" s="15" t="n">
        <v>8</v>
      </c>
      <c r="Q11" s="7" t="n">
        <v>8</v>
      </c>
      <c r="R11" s="7" t="n">
        <v>2830</v>
      </c>
      <c r="S11" t="n">
        <v>408</v>
      </c>
      <c r="T11" t="n">
        <v>0.2035335689045936</v>
      </c>
      <c r="U11" t="n">
        <v>7.5</v>
      </c>
      <c r="V11" s="15" t="n">
        <v>8</v>
      </c>
    </row>
    <row r="12">
      <c r="A12" s="7" t="n">
        <v>9</v>
      </c>
      <c r="B12" s="7" t="n">
        <v>2584</v>
      </c>
      <c r="C12" t="n">
        <v>391</v>
      </c>
      <c r="D12" t="n">
        <v>0</v>
      </c>
      <c r="E12" t="n">
        <v>8</v>
      </c>
      <c r="F12" s="15" t="n">
        <v>8</v>
      </c>
      <c r="I12" s="7" t="n">
        <v>9</v>
      </c>
      <c r="J12" s="7" t="n">
        <v>1107</v>
      </c>
      <c r="K12" t="n">
        <v>171</v>
      </c>
      <c r="L12" t="n">
        <v>0.1915085817524842</v>
      </c>
      <c r="M12" t="n">
        <v>7.5</v>
      </c>
      <c r="N12" s="15" t="n">
        <v>7</v>
      </c>
      <c r="Q12" s="7" t="n">
        <v>9</v>
      </c>
      <c r="R12" s="7" t="n">
        <v>2315</v>
      </c>
      <c r="S12" t="n">
        <v>341</v>
      </c>
      <c r="T12" t="n">
        <v>0.1075593952483801</v>
      </c>
      <c r="U12" t="n">
        <v>9.5</v>
      </c>
      <c r="V12" s="15" t="n">
        <v>8</v>
      </c>
    </row>
    <row r="13">
      <c r="A13" s="7" t="n">
        <v>10</v>
      </c>
      <c r="B13" s="7" t="n">
        <v>1818</v>
      </c>
      <c r="C13" t="n">
        <v>257</v>
      </c>
      <c r="D13" t="n">
        <v>0</v>
      </c>
      <c r="E13" t="n">
        <v>10</v>
      </c>
      <c r="F13" s="15" t="n">
        <v>5</v>
      </c>
      <c r="I13" s="7" t="n">
        <v>10</v>
      </c>
      <c r="J13" s="7" t="n">
        <v>1082</v>
      </c>
      <c r="K13" t="n">
        <v>155</v>
      </c>
      <c r="L13" t="n">
        <v>0</v>
      </c>
      <c r="M13" t="n">
        <v>10</v>
      </c>
      <c r="N13" s="15" t="n">
        <v>5</v>
      </c>
      <c r="Q13" s="7" t="n">
        <v>10</v>
      </c>
      <c r="R13" s="7" t="n">
        <v>1925</v>
      </c>
      <c r="S13" t="n">
        <v>268</v>
      </c>
      <c r="T13" t="n">
        <v>0</v>
      </c>
      <c r="U13" t="n">
        <v>8.5</v>
      </c>
      <c r="V13" s="15" t="n">
        <v>5</v>
      </c>
    </row>
    <row r="14">
      <c r="A14" s="9" t="n">
        <v>11</v>
      </c>
      <c r="B14" s="9" t="n">
        <v>2456</v>
      </c>
      <c r="C14" s="10" t="n">
        <v>354</v>
      </c>
      <c r="D14" s="10" t="n">
        <v>0</v>
      </c>
      <c r="E14" s="10" t="n">
        <v>9</v>
      </c>
      <c r="F14" s="16" t="n">
        <v>6</v>
      </c>
      <c r="I14" s="9" t="n">
        <v>11</v>
      </c>
      <c r="J14" s="9" t="n">
        <v>1175</v>
      </c>
      <c r="K14" s="10" t="n">
        <v>156</v>
      </c>
      <c r="L14" s="10" t="n">
        <v>0</v>
      </c>
      <c r="M14" s="10" t="n">
        <v>5</v>
      </c>
      <c r="N14" s="16" t="n">
        <v>4</v>
      </c>
      <c r="Q14" s="9" t="n">
        <v>11</v>
      </c>
      <c r="R14" s="9" t="n">
        <v>3105</v>
      </c>
      <c r="S14" s="10" t="n">
        <v>459</v>
      </c>
      <c r="T14" s="10" t="n">
        <v>0</v>
      </c>
      <c r="U14" s="10" t="n">
        <v>10</v>
      </c>
      <c r="V14" s="16" t="n">
        <v>6</v>
      </c>
    </row>
    <row r="15"/>
    <row r="16"/>
    <row r="17">
      <c r="A17" s="1" t="inlineStr">
        <is>
          <t>EN</t>
        </is>
      </c>
    </row>
    <row r="18">
      <c r="B18" s="2" t="inlineStr">
        <is>
          <t>Réponse détaillée, sans image</t>
        </is>
      </c>
      <c r="C18" s="3" t="n"/>
      <c r="D18" s="3" t="n"/>
      <c r="E18" s="3" t="n"/>
      <c r="F18" s="4" t="n"/>
      <c r="J18" s="2" t="inlineStr">
        <is>
          <t>Réponse synthétique, sans image</t>
        </is>
      </c>
      <c r="K18" s="3" t="n"/>
      <c r="L18" s="3" t="n"/>
      <c r="M18" s="3" t="n"/>
      <c r="N18" s="4" t="n"/>
      <c r="R18" s="2" t="inlineStr">
        <is>
          <t>Réponse avec image</t>
        </is>
      </c>
      <c r="S18" s="3" t="n"/>
      <c r="T18" s="3" t="n"/>
      <c r="U18" s="3" t="n"/>
      <c r="V18" s="4" t="n"/>
    </row>
    <row r="19">
      <c r="A19" s="12" t="inlineStr">
        <is>
          <t>N° Problème</t>
        </is>
      </c>
      <c r="B19" s="12" t="inlineStr">
        <is>
          <t>Longueur de réponse</t>
        </is>
      </c>
      <c r="C19" s="13" t="inlineStr">
        <is>
          <t>Nombre de mots</t>
        </is>
      </c>
      <c r="D19" s="13" t="inlineStr">
        <is>
          <t>Densité d'information utile</t>
        </is>
      </c>
      <c r="E19" s="13" t="inlineStr">
        <is>
          <t>Note de réussite</t>
        </is>
      </c>
      <c r="F19" s="14" t="inlineStr">
        <is>
          <t>Similarité syntaxique</t>
        </is>
      </c>
      <c r="I19" s="12" t="inlineStr">
        <is>
          <t>N° Problème</t>
        </is>
      </c>
      <c r="J19" s="12" t="inlineStr">
        <is>
          <t>Longueur de réponse</t>
        </is>
      </c>
      <c r="K19" s="13" t="inlineStr">
        <is>
          <t>Nombre de mots</t>
        </is>
      </c>
      <c r="L19" s="13" t="inlineStr">
        <is>
          <t>Densité d'information utile</t>
        </is>
      </c>
      <c r="M19" s="13" t="inlineStr">
        <is>
          <t>Note de réussite</t>
        </is>
      </c>
      <c r="N19" s="14" t="inlineStr">
        <is>
          <t>Similarité syntaxique</t>
        </is>
      </c>
      <c r="Q19" s="12" t="inlineStr">
        <is>
          <t>N° Problème</t>
        </is>
      </c>
      <c r="R19" s="12" t="inlineStr">
        <is>
          <t>Longueur de réponse</t>
        </is>
      </c>
      <c r="S19" s="13" t="inlineStr">
        <is>
          <t>Nombre de mots</t>
        </is>
      </c>
      <c r="T19" s="13" t="inlineStr">
        <is>
          <t>Densité d'information utile</t>
        </is>
      </c>
      <c r="U19" s="13" t="inlineStr">
        <is>
          <t>Note de réussite</t>
        </is>
      </c>
      <c r="V19" s="14" t="inlineStr">
        <is>
          <t>Similarité syntaxique</t>
        </is>
      </c>
    </row>
    <row r="20">
      <c r="A20" s="7" t="n">
        <v>1</v>
      </c>
      <c r="B20" s="7" t="n">
        <v>2167</v>
      </c>
      <c r="C20" t="n">
        <v>308</v>
      </c>
      <c r="D20" t="n">
        <v>0.0853714813105676</v>
      </c>
      <c r="E20" t="n">
        <v>9</v>
      </c>
      <c r="F20" s="15" t="n">
        <v>8</v>
      </c>
      <c r="I20" s="7" t="n">
        <v>1</v>
      </c>
      <c r="J20" s="7" t="n">
        <v>1051</v>
      </c>
      <c r="K20" t="n">
        <v>144</v>
      </c>
      <c r="L20" t="n">
        <v>0.4272121788772598</v>
      </c>
      <c r="M20" t="n">
        <v>9</v>
      </c>
      <c r="N20" s="15" t="n">
        <v>4</v>
      </c>
      <c r="Q20" s="7" t="n">
        <v>1</v>
      </c>
      <c r="R20" s="7" t="n">
        <v>2116</v>
      </c>
      <c r="S20" t="n">
        <v>307</v>
      </c>
      <c r="T20" t="n">
        <v>0.06568998109640832</v>
      </c>
      <c r="U20" t="n">
        <v>9</v>
      </c>
      <c r="V20" s="15" t="n">
        <v>6</v>
      </c>
    </row>
    <row r="21">
      <c r="A21" s="7" t="n">
        <v>2</v>
      </c>
      <c r="B21" s="7" t="n">
        <v>2145</v>
      </c>
      <c r="C21" t="n">
        <v>317</v>
      </c>
      <c r="D21" t="n">
        <v>0.08298368298368299</v>
      </c>
      <c r="E21" t="n">
        <v>0</v>
      </c>
      <c r="F21" s="15" t="n">
        <v>8</v>
      </c>
      <c r="I21" s="7" t="n">
        <v>2</v>
      </c>
      <c r="J21" s="7" t="n">
        <v>1010</v>
      </c>
      <c r="K21" t="n">
        <v>142</v>
      </c>
      <c r="L21" t="n">
        <v>0.1702970297029703</v>
      </c>
      <c r="M21" t="n">
        <v>0</v>
      </c>
      <c r="N21" s="15" t="n">
        <v>8</v>
      </c>
      <c r="Q21" s="7" t="n">
        <v>2</v>
      </c>
      <c r="R21" s="7" t="n">
        <v>2236</v>
      </c>
      <c r="S21" t="n">
        <v>329</v>
      </c>
      <c r="T21" t="n">
        <v>0.09704830053667263</v>
      </c>
      <c r="U21" t="n">
        <v>0</v>
      </c>
      <c r="V21" s="15" t="n">
        <v>9</v>
      </c>
    </row>
    <row r="22">
      <c r="A22" s="7" t="n">
        <v>3</v>
      </c>
      <c r="B22" s="7" t="n">
        <v>2152</v>
      </c>
      <c r="C22" t="n">
        <v>334</v>
      </c>
      <c r="D22" t="n">
        <v>0</v>
      </c>
      <c r="E22" t="n">
        <v>9</v>
      </c>
      <c r="F22" s="15" t="n">
        <v>4</v>
      </c>
      <c r="I22" s="7" t="n">
        <v>3</v>
      </c>
      <c r="J22" s="7" t="n">
        <v>972</v>
      </c>
      <c r="K22" t="n">
        <v>152</v>
      </c>
      <c r="L22" t="n">
        <v>0</v>
      </c>
      <c r="M22" t="n">
        <v>8.5</v>
      </c>
      <c r="N22" s="15" t="n">
        <v>4</v>
      </c>
      <c r="Q22" s="7" t="n">
        <v>3</v>
      </c>
      <c r="R22" s="7" t="n">
        <v>2473</v>
      </c>
      <c r="S22" t="n">
        <v>369</v>
      </c>
      <c r="T22" t="n">
        <v>0</v>
      </c>
      <c r="U22" t="n">
        <v>9.5</v>
      </c>
      <c r="V22" s="15" t="n">
        <v>7</v>
      </c>
    </row>
    <row r="23">
      <c r="A23" s="7" t="n">
        <v>4</v>
      </c>
      <c r="B23" s="7" t="n">
        <v>2578</v>
      </c>
      <c r="C23" t="n">
        <v>405</v>
      </c>
      <c r="D23" t="n">
        <v>0.1714507370054306</v>
      </c>
      <c r="E23" t="n">
        <v>9</v>
      </c>
      <c r="F23" s="15" t="n">
        <v>8</v>
      </c>
      <c r="I23" s="7" t="n">
        <v>4</v>
      </c>
      <c r="J23" s="7" t="n">
        <v>947</v>
      </c>
      <c r="K23" t="n">
        <v>145</v>
      </c>
      <c r="L23" t="n">
        <v>0.1594508975712777</v>
      </c>
      <c r="M23" t="n">
        <v>10</v>
      </c>
      <c r="N23" s="15" t="n">
        <v>8</v>
      </c>
      <c r="Q23" s="7" t="n">
        <v>4</v>
      </c>
      <c r="R23" s="7" t="n">
        <v>2194</v>
      </c>
      <c r="S23" t="n">
        <v>341</v>
      </c>
      <c r="T23" t="n">
        <v>0.105742935278031</v>
      </c>
      <c r="U23" t="n">
        <v>9.5</v>
      </c>
      <c r="V23" s="15" t="n">
        <v>8</v>
      </c>
    </row>
    <row r="24">
      <c r="A24" s="7" t="n">
        <v>5</v>
      </c>
      <c r="B24" s="7" t="n">
        <v>3030</v>
      </c>
      <c r="C24" t="n">
        <v>408</v>
      </c>
      <c r="D24" t="n">
        <v>0.2815181518151815</v>
      </c>
      <c r="E24" t="n">
        <v>9</v>
      </c>
      <c r="F24" s="15" t="n">
        <v>5</v>
      </c>
      <c r="I24" s="7" t="n">
        <v>5</v>
      </c>
      <c r="J24" s="7" t="n">
        <v>1679</v>
      </c>
      <c r="K24" t="n">
        <v>220</v>
      </c>
      <c r="L24" t="n">
        <v>0.3031566408576534</v>
      </c>
      <c r="M24" t="n">
        <v>6</v>
      </c>
      <c r="N24" s="15" t="n">
        <v>4</v>
      </c>
      <c r="Q24" s="7" t="n">
        <v>5</v>
      </c>
      <c r="R24" s="7" t="n">
        <v>2917</v>
      </c>
      <c r="S24" t="n">
        <v>392</v>
      </c>
      <c r="T24" t="n">
        <v>0.3143640726774083</v>
      </c>
      <c r="U24" t="n">
        <v>8</v>
      </c>
      <c r="V24" s="15" t="n">
        <v>6.5</v>
      </c>
    </row>
    <row r="25">
      <c r="A25" s="7" t="n">
        <v>6</v>
      </c>
      <c r="B25" s="7" t="n">
        <v>2571</v>
      </c>
      <c r="C25" t="n">
        <v>360</v>
      </c>
      <c r="D25" t="n">
        <v>0.2901594710229483</v>
      </c>
      <c r="E25" t="n">
        <v>10</v>
      </c>
      <c r="F25" s="15" t="n">
        <v>7</v>
      </c>
      <c r="I25" s="7" t="n">
        <v>6</v>
      </c>
      <c r="J25" s="7" t="n">
        <v>1531</v>
      </c>
      <c r="K25" t="n">
        <v>215</v>
      </c>
      <c r="L25" t="n">
        <v>0.2769431743958197</v>
      </c>
      <c r="M25" t="n">
        <v>10</v>
      </c>
      <c r="N25" s="15" t="n">
        <v>5.5</v>
      </c>
      <c r="Q25" s="7" t="n">
        <v>6</v>
      </c>
      <c r="R25" s="7" t="n">
        <v>2188</v>
      </c>
      <c r="S25" t="n">
        <v>308</v>
      </c>
      <c r="T25" t="n">
        <v>0.2746800731261426</v>
      </c>
      <c r="U25" t="n">
        <v>10</v>
      </c>
      <c r="V25" s="15" t="n">
        <v>6</v>
      </c>
    </row>
    <row r="26">
      <c r="A26" s="7" t="n">
        <v>7</v>
      </c>
      <c r="B26" s="7" t="n">
        <v>3324</v>
      </c>
      <c r="C26" t="n">
        <v>477</v>
      </c>
      <c r="D26" t="n">
        <v>0</v>
      </c>
      <c r="E26" t="n">
        <v>7</v>
      </c>
      <c r="F26" s="15" t="n">
        <v>3.5</v>
      </c>
      <c r="I26" s="7" t="n">
        <v>7</v>
      </c>
      <c r="J26" s="7" t="n">
        <v>1875</v>
      </c>
      <c r="K26" t="n">
        <v>255</v>
      </c>
      <c r="L26" t="n">
        <v>0</v>
      </c>
      <c r="M26" t="n">
        <v>7</v>
      </c>
      <c r="N26" s="15" t="n">
        <v>0</v>
      </c>
      <c r="Q26" s="7" t="n">
        <v>7</v>
      </c>
      <c r="R26" s="7" t="n">
        <v>1832</v>
      </c>
      <c r="S26" t="n">
        <v>292</v>
      </c>
      <c r="T26" t="n">
        <v>0.09279475982532751</v>
      </c>
      <c r="U26" t="n">
        <v>7</v>
      </c>
      <c r="V26" s="15" t="n">
        <v>6</v>
      </c>
    </row>
    <row r="27">
      <c r="A27" s="7" t="n">
        <v>8</v>
      </c>
      <c r="B27" s="7" t="n">
        <v>3077</v>
      </c>
      <c r="C27" t="n">
        <v>475</v>
      </c>
      <c r="D27" t="n">
        <v>0.1465713357166071</v>
      </c>
      <c r="E27" t="n">
        <v>9</v>
      </c>
      <c r="F27" s="15" t="n">
        <v>6</v>
      </c>
      <c r="I27" s="7" t="n">
        <v>8</v>
      </c>
      <c r="J27" s="7" t="n">
        <v>1465</v>
      </c>
      <c r="K27" t="n">
        <v>214</v>
      </c>
      <c r="L27" t="n">
        <v>0.336518771331058</v>
      </c>
      <c r="M27" t="n">
        <v>7.5</v>
      </c>
      <c r="N27" s="15" t="n">
        <v>5</v>
      </c>
      <c r="Q27" s="7" t="n">
        <v>8</v>
      </c>
      <c r="R27" s="7" t="n">
        <v>2606</v>
      </c>
      <c r="S27" t="n">
        <v>401</v>
      </c>
      <c r="T27" t="n">
        <v>0.2068303914044513</v>
      </c>
      <c r="U27" t="n">
        <v>8.5</v>
      </c>
      <c r="V27" s="15" t="n">
        <v>5</v>
      </c>
    </row>
    <row r="28">
      <c r="A28" s="7" t="n">
        <v>9</v>
      </c>
      <c r="B28" s="7" t="n">
        <v>2980</v>
      </c>
      <c r="C28" t="n">
        <v>425</v>
      </c>
      <c r="D28" t="n">
        <v>0</v>
      </c>
      <c r="E28" t="n">
        <v>5.5</v>
      </c>
      <c r="F28" s="15" t="n">
        <v>0</v>
      </c>
      <c r="I28" s="7" t="n">
        <v>9</v>
      </c>
      <c r="J28" s="7" t="n">
        <v>1137</v>
      </c>
      <c r="K28" t="n">
        <v>160</v>
      </c>
      <c r="L28" t="n">
        <v>0.2383465259454705</v>
      </c>
      <c r="M28" t="n">
        <v>5.5</v>
      </c>
      <c r="N28" s="15" t="n">
        <v>0</v>
      </c>
      <c r="Q28" s="7" t="n">
        <v>9</v>
      </c>
      <c r="R28" s="7" t="n">
        <v>2463</v>
      </c>
      <c r="S28" t="n">
        <v>352</v>
      </c>
      <c r="T28" t="n">
        <v>0</v>
      </c>
      <c r="U28" t="n">
        <v>5</v>
      </c>
      <c r="V28" s="15" t="n">
        <v>4</v>
      </c>
    </row>
    <row r="29">
      <c r="A29" s="7" t="n">
        <v>10</v>
      </c>
      <c r="B29" s="7" t="n">
        <v>2041</v>
      </c>
      <c r="C29" t="n">
        <v>320</v>
      </c>
      <c r="D29" t="n">
        <v>0</v>
      </c>
      <c r="E29" t="n">
        <v>8</v>
      </c>
      <c r="F29" s="15" t="n">
        <v>5</v>
      </c>
      <c r="I29" s="7" t="n">
        <v>10</v>
      </c>
      <c r="J29" s="7" t="n">
        <v>977</v>
      </c>
      <c r="K29" t="n">
        <v>146</v>
      </c>
      <c r="L29" t="n">
        <v>0</v>
      </c>
      <c r="M29" t="n">
        <v>8</v>
      </c>
      <c r="N29" s="15" t="n">
        <v>3</v>
      </c>
      <c r="Q29" s="7" t="n">
        <v>10</v>
      </c>
      <c r="R29" s="7" t="n">
        <v>2074</v>
      </c>
      <c r="S29" t="n">
        <v>318</v>
      </c>
      <c r="T29" t="n">
        <v>0</v>
      </c>
      <c r="U29" t="n">
        <v>9</v>
      </c>
      <c r="V29" s="15" t="n">
        <v>4</v>
      </c>
    </row>
    <row r="30">
      <c r="A30" s="9" t="n">
        <v>11</v>
      </c>
      <c r="B30" s="9" t="n">
        <v>2663</v>
      </c>
      <c r="C30" s="10" t="n">
        <v>411</v>
      </c>
      <c r="D30" s="10" t="n">
        <v>0</v>
      </c>
      <c r="E30" s="10" t="n"/>
      <c r="F30" s="16" t="n">
        <v>5</v>
      </c>
      <c r="I30" s="9" t="n">
        <v>11</v>
      </c>
      <c r="J30" s="9" t="n">
        <v>1853</v>
      </c>
      <c r="K30" s="10" t="n">
        <v>269</v>
      </c>
      <c r="L30" s="10" t="n">
        <v>0</v>
      </c>
      <c r="M30" s="10" t="n"/>
      <c r="N30" s="16" t="n">
        <v>5</v>
      </c>
      <c r="Q30" s="9" t="n">
        <v>11</v>
      </c>
      <c r="R30" s="9" t="n">
        <v>2620</v>
      </c>
      <c r="S30" s="10" t="n">
        <v>363</v>
      </c>
      <c r="T30" s="10" t="n">
        <v>0</v>
      </c>
      <c r="U30" s="10" t="n"/>
      <c r="V30" s="16" t="n">
        <v>6</v>
      </c>
    </row>
  </sheetData>
  <mergeCells count="8">
    <mergeCell ref="A1:C1"/>
    <mergeCell ref="B2:F2"/>
    <mergeCell ref="J2:N2"/>
    <mergeCell ref="A17:C17"/>
    <mergeCell ref="R2:V2"/>
    <mergeCell ref="J18:N18"/>
    <mergeCell ref="R18:V18"/>
    <mergeCell ref="B18:F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</cols>
  <sheetData>
    <row r="1">
      <c r="A1" s="1" t="inlineStr">
        <is>
          <t>FR</t>
        </is>
      </c>
    </row>
    <row r="2">
      <c r="B2" s="2" t="inlineStr">
        <is>
          <t>Réponse détaillée, sans image</t>
        </is>
      </c>
      <c r="C2" s="3" t="n"/>
      <c r="D2" s="3" t="n"/>
      <c r="E2" s="3" t="n"/>
      <c r="F2" s="4" t="n"/>
      <c r="J2" s="2" t="inlineStr">
        <is>
          <t>Réponse synthétique, sans image</t>
        </is>
      </c>
      <c r="K2" s="3" t="n"/>
      <c r="L2" s="3" t="n"/>
      <c r="M2" s="3" t="n"/>
      <c r="N2" s="4" t="n"/>
      <c r="R2" s="2" t="inlineStr">
        <is>
          <t>Réponse avec image</t>
        </is>
      </c>
      <c r="S2" s="3" t="n"/>
      <c r="T2" s="3" t="n"/>
      <c r="U2" s="3" t="n"/>
      <c r="V2" s="4" t="n"/>
    </row>
    <row r="3">
      <c r="A3" s="12" t="inlineStr">
        <is>
          <t>N° Problème</t>
        </is>
      </c>
      <c r="B3" s="12" t="inlineStr">
        <is>
          <t>Longueur de réponse</t>
        </is>
      </c>
      <c r="C3" s="13" t="inlineStr">
        <is>
          <t>Nombre de mots</t>
        </is>
      </c>
      <c r="D3" s="13" t="inlineStr">
        <is>
          <t>Densité d'information utile</t>
        </is>
      </c>
      <c r="E3" s="13" t="inlineStr">
        <is>
          <t>Note de réussite</t>
        </is>
      </c>
      <c r="F3" s="14" t="inlineStr">
        <is>
          <t>Similarité syntaxique</t>
        </is>
      </c>
      <c r="I3" s="12" t="inlineStr">
        <is>
          <t>N° Problème</t>
        </is>
      </c>
      <c r="J3" s="12" t="inlineStr">
        <is>
          <t>Longueur de réponse</t>
        </is>
      </c>
      <c r="K3" s="13" t="inlineStr">
        <is>
          <t>Nombre de mots</t>
        </is>
      </c>
      <c r="L3" s="13" t="inlineStr">
        <is>
          <t>Densité d'information utile</t>
        </is>
      </c>
      <c r="M3" s="13" t="inlineStr">
        <is>
          <t>Note de réussite</t>
        </is>
      </c>
      <c r="N3" s="14" t="inlineStr">
        <is>
          <t>Similarité syntaxique</t>
        </is>
      </c>
      <c r="Q3" s="12" t="inlineStr">
        <is>
          <t>N° Problème</t>
        </is>
      </c>
      <c r="R3" s="12" t="inlineStr">
        <is>
          <t>Longueur de réponse</t>
        </is>
      </c>
      <c r="S3" s="13" t="inlineStr">
        <is>
          <t>Nombre de mots</t>
        </is>
      </c>
      <c r="T3" s="13" t="inlineStr">
        <is>
          <t>Densité d'information utile</t>
        </is>
      </c>
      <c r="U3" s="13" t="inlineStr">
        <is>
          <t>Note de réussite</t>
        </is>
      </c>
      <c r="V3" s="14" t="inlineStr">
        <is>
          <t>Similarité syntaxique</t>
        </is>
      </c>
    </row>
    <row r="4">
      <c r="A4" s="7" t="n">
        <v>1</v>
      </c>
      <c r="B4" s="7" t="n">
        <v>1483</v>
      </c>
      <c r="C4" t="n">
        <v>247</v>
      </c>
      <c r="D4" t="n">
        <v>0.2117329737019555</v>
      </c>
      <c r="E4" t="n">
        <v>8</v>
      </c>
      <c r="F4" s="15" t="n">
        <v>10</v>
      </c>
      <c r="I4" s="7" t="n">
        <v>1</v>
      </c>
      <c r="J4" s="7" t="n">
        <v>707</v>
      </c>
      <c r="K4" t="n">
        <v>111</v>
      </c>
      <c r="L4" t="n">
        <v>0.3974540311173975</v>
      </c>
      <c r="M4" t="n">
        <v>8</v>
      </c>
      <c r="N4" s="15" t="n">
        <v>4</v>
      </c>
      <c r="Q4" s="7" t="n">
        <v>1</v>
      </c>
      <c r="R4" s="7" t="n">
        <v>3431</v>
      </c>
      <c r="S4" t="n">
        <v>561</v>
      </c>
      <c r="T4" t="n">
        <v>0.06033226464587584</v>
      </c>
      <c r="U4" t="n">
        <v>7</v>
      </c>
      <c r="V4" s="15" t="n">
        <v>8</v>
      </c>
    </row>
    <row r="5">
      <c r="A5" s="7" t="n">
        <v>2</v>
      </c>
      <c r="B5" s="7" t="n">
        <v>1818</v>
      </c>
      <c r="C5" t="n">
        <v>283</v>
      </c>
      <c r="D5" t="n">
        <v>0.08965896589658966</v>
      </c>
      <c r="E5" t="n">
        <v>9</v>
      </c>
      <c r="F5" s="15" t="n">
        <v>8</v>
      </c>
      <c r="I5" s="7" t="n">
        <v>2</v>
      </c>
      <c r="J5" s="7" t="n">
        <v>717</v>
      </c>
      <c r="K5" t="n">
        <v>124</v>
      </c>
      <c r="L5" t="n">
        <v>0.2301255230125523</v>
      </c>
      <c r="M5" t="n">
        <v>5</v>
      </c>
      <c r="N5" s="15" t="n">
        <v>4</v>
      </c>
      <c r="Q5" s="7" t="n">
        <v>2</v>
      </c>
      <c r="R5" s="7" t="n">
        <v>1639</v>
      </c>
      <c r="S5" t="n">
        <v>276</v>
      </c>
      <c r="T5" t="n">
        <v>0.09090909090909091</v>
      </c>
      <c r="U5" t="n">
        <v>8</v>
      </c>
      <c r="V5" s="15" t="n">
        <v>8</v>
      </c>
    </row>
    <row r="6">
      <c r="A6" s="7" t="n">
        <v>3</v>
      </c>
      <c r="B6" s="7" t="n">
        <v>1914</v>
      </c>
      <c r="C6" t="n">
        <v>337</v>
      </c>
      <c r="D6" t="n">
        <v>0</v>
      </c>
      <c r="E6" t="n">
        <v>0</v>
      </c>
      <c r="F6" s="15" t="n">
        <v>7</v>
      </c>
      <c r="I6" s="7" t="n">
        <v>3</v>
      </c>
      <c r="J6" s="7" t="n">
        <v>694</v>
      </c>
      <c r="K6" t="n">
        <v>130</v>
      </c>
      <c r="L6" t="n">
        <v>0</v>
      </c>
      <c r="M6" t="n">
        <v>0</v>
      </c>
      <c r="N6" s="15" t="n">
        <v>2</v>
      </c>
      <c r="Q6" s="7" t="n">
        <v>3</v>
      </c>
      <c r="R6" s="7" t="n">
        <v>2553</v>
      </c>
      <c r="S6" t="n">
        <v>473</v>
      </c>
      <c r="T6" t="n">
        <v>0</v>
      </c>
      <c r="U6" t="n">
        <v>0</v>
      </c>
      <c r="V6" s="15" t="n">
        <v>3</v>
      </c>
    </row>
    <row r="7">
      <c r="A7" s="7" t="n">
        <v>4</v>
      </c>
      <c r="B7" s="7" t="n">
        <v>2190</v>
      </c>
      <c r="C7" t="n">
        <v>363</v>
      </c>
      <c r="D7" t="n">
        <v>0.1168949771689498</v>
      </c>
      <c r="E7" t="n">
        <v>8</v>
      </c>
      <c r="F7" s="15" t="n">
        <v>10</v>
      </c>
      <c r="I7" s="7" t="n">
        <v>4</v>
      </c>
      <c r="J7" s="7" t="n">
        <v>689</v>
      </c>
      <c r="K7" t="n">
        <v>117</v>
      </c>
      <c r="L7" t="n">
        <v>0.1393323657474601</v>
      </c>
      <c r="M7" t="n">
        <v>4.5</v>
      </c>
      <c r="N7" s="15" t="n">
        <v>6</v>
      </c>
      <c r="Q7" s="7" t="n">
        <v>4</v>
      </c>
      <c r="R7" s="7" t="n">
        <v>1489</v>
      </c>
      <c r="S7" t="n">
        <v>250</v>
      </c>
      <c r="T7" t="n">
        <v>0.1161853593015447</v>
      </c>
      <c r="U7" t="n">
        <v>6.5</v>
      </c>
      <c r="V7" s="15" t="n">
        <v>10</v>
      </c>
    </row>
    <row r="8">
      <c r="A8" s="7" t="n">
        <v>5</v>
      </c>
      <c r="B8" s="7" t="n">
        <v>3195</v>
      </c>
      <c r="C8" t="n">
        <v>538</v>
      </c>
      <c r="D8" t="n">
        <v>0.1762128325508607</v>
      </c>
      <c r="E8" t="n">
        <v>9</v>
      </c>
      <c r="F8" s="15" t="n">
        <v>6.5</v>
      </c>
      <c r="I8" s="7" t="n">
        <v>5</v>
      </c>
      <c r="J8" s="7" t="n">
        <v>1573</v>
      </c>
      <c r="K8" t="n">
        <v>242</v>
      </c>
      <c r="L8" t="n">
        <v>0.3763509218054673</v>
      </c>
      <c r="M8" t="n">
        <v>9</v>
      </c>
      <c r="N8" s="15" t="n">
        <v>7</v>
      </c>
      <c r="Q8" s="7" t="n">
        <v>5</v>
      </c>
      <c r="R8" s="7" t="n">
        <v>3353</v>
      </c>
      <c r="S8" t="n">
        <v>561</v>
      </c>
      <c r="T8" t="n">
        <v>0.140769460184909</v>
      </c>
      <c r="U8" t="n">
        <v>8.5</v>
      </c>
      <c r="V8" s="15" t="n">
        <v>4.5</v>
      </c>
    </row>
    <row r="9">
      <c r="A9" s="7" t="n">
        <v>6</v>
      </c>
      <c r="B9" s="7" t="n">
        <v>3780</v>
      </c>
      <c r="C9" t="n">
        <v>654</v>
      </c>
      <c r="D9" t="n">
        <v>0.135978835978836</v>
      </c>
      <c r="E9" t="n">
        <v>6</v>
      </c>
      <c r="F9" s="15" t="n">
        <v>7</v>
      </c>
      <c r="I9" s="7" t="n">
        <v>6</v>
      </c>
      <c r="J9" s="7" t="n">
        <v>867</v>
      </c>
      <c r="K9" t="n">
        <v>144</v>
      </c>
      <c r="L9" t="n">
        <v>0.3217993079584775</v>
      </c>
      <c r="M9" t="n">
        <v>5.5</v>
      </c>
      <c r="N9" s="15" t="n">
        <v>6</v>
      </c>
      <c r="Q9" s="7" t="n">
        <v>6</v>
      </c>
      <c r="R9" s="7" t="n">
        <v>3338</v>
      </c>
      <c r="S9" t="n">
        <v>505</v>
      </c>
      <c r="T9" t="n">
        <v>0.2174955062911923</v>
      </c>
      <c r="U9" t="n">
        <v>5.5</v>
      </c>
      <c r="V9" s="15" t="n">
        <v>5.5</v>
      </c>
    </row>
    <row r="10">
      <c r="A10" s="7" t="n">
        <v>7</v>
      </c>
      <c r="B10" s="7" t="n">
        <v>4264</v>
      </c>
      <c r="C10" t="n">
        <v>759</v>
      </c>
      <c r="D10" t="n">
        <v>0.07715759849906191</v>
      </c>
      <c r="E10" t="n">
        <v>10</v>
      </c>
      <c r="F10" s="15" t="n">
        <v>4.5</v>
      </c>
      <c r="I10" s="7" t="n">
        <v>7</v>
      </c>
      <c r="J10" s="7" t="n">
        <v>532</v>
      </c>
      <c r="K10" t="n">
        <v>99</v>
      </c>
      <c r="L10" t="n">
        <v>0.02819548872180451</v>
      </c>
      <c r="M10" t="n">
        <v>10</v>
      </c>
      <c r="N10" s="15" t="n">
        <v>2.5</v>
      </c>
      <c r="Q10" s="7" t="n">
        <v>7</v>
      </c>
      <c r="R10" s="7" t="n">
        <v>3612</v>
      </c>
      <c r="S10" t="n">
        <v>614</v>
      </c>
      <c r="T10" t="n">
        <v>0.1290143964562569</v>
      </c>
      <c r="U10" t="n">
        <v>10</v>
      </c>
      <c r="V10" s="15" t="n">
        <v>4.5</v>
      </c>
    </row>
    <row r="11">
      <c r="A11" s="7" t="n">
        <v>8</v>
      </c>
      <c r="B11" s="7" t="n">
        <v>4193</v>
      </c>
      <c r="C11" t="n">
        <v>693</v>
      </c>
      <c r="D11" t="n">
        <v>0.1142380157405199</v>
      </c>
      <c r="E11" t="n">
        <v>7</v>
      </c>
      <c r="F11" s="15" t="n">
        <v>6.5</v>
      </c>
      <c r="I11" s="7" t="n">
        <v>8</v>
      </c>
      <c r="J11" s="7" t="n">
        <v>996</v>
      </c>
      <c r="K11" t="n">
        <v>170</v>
      </c>
      <c r="L11" t="n">
        <v>0.320281124497992</v>
      </c>
      <c r="M11" t="n">
        <v>6.5</v>
      </c>
      <c r="N11" s="15" t="n">
        <v>5.5</v>
      </c>
      <c r="Q11" s="7" t="n">
        <v>8</v>
      </c>
      <c r="R11" s="7" t="n">
        <v>3640</v>
      </c>
      <c r="S11" t="n">
        <v>606</v>
      </c>
      <c r="T11" t="n">
        <v>0.1387362637362637</v>
      </c>
      <c r="U11" t="n">
        <v>7.5</v>
      </c>
      <c r="V11" s="15" t="n">
        <v>0</v>
      </c>
    </row>
    <row r="12">
      <c r="A12" s="7" t="n">
        <v>9</v>
      </c>
      <c r="B12" s="7" t="n">
        <v>3379</v>
      </c>
      <c r="C12" t="n">
        <v>447</v>
      </c>
      <c r="D12" t="n">
        <v>0</v>
      </c>
      <c r="E12" t="n">
        <v>2.5</v>
      </c>
      <c r="F12" s="15" t="n">
        <v>4</v>
      </c>
      <c r="I12" s="7" t="n">
        <v>9</v>
      </c>
      <c r="J12" s="7" t="n">
        <v>933</v>
      </c>
      <c r="K12" t="n">
        <v>139</v>
      </c>
      <c r="L12" t="n">
        <v>0</v>
      </c>
      <c r="M12" t="n">
        <v>0.5</v>
      </c>
      <c r="N12" s="15" t="n">
        <v>2</v>
      </c>
      <c r="Q12" s="7" t="n">
        <v>9</v>
      </c>
      <c r="R12" s="7" t="n">
        <v>3168</v>
      </c>
      <c r="S12" t="n">
        <v>476</v>
      </c>
      <c r="T12" t="n">
        <v>0</v>
      </c>
      <c r="U12" t="n">
        <v>2</v>
      </c>
      <c r="V12" s="15" t="n">
        <v>5</v>
      </c>
    </row>
    <row r="13">
      <c r="A13" s="7" t="n">
        <v>10</v>
      </c>
      <c r="B13" s="7" t="n">
        <v>974</v>
      </c>
      <c r="C13" t="n">
        <v>146</v>
      </c>
      <c r="D13" t="n">
        <v>0</v>
      </c>
      <c r="E13" t="n">
        <v>0</v>
      </c>
      <c r="F13" s="15" t="n">
        <v>1</v>
      </c>
      <c r="I13" s="7" t="n">
        <v>10</v>
      </c>
      <c r="J13" s="7" t="n">
        <v>314</v>
      </c>
      <c r="K13" t="n">
        <v>50</v>
      </c>
      <c r="L13" t="n">
        <v>0</v>
      </c>
      <c r="M13" t="n">
        <v>9</v>
      </c>
      <c r="N13" s="15" t="n">
        <v>2</v>
      </c>
      <c r="Q13" s="7" t="n">
        <v>10</v>
      </c>
      <c r="R13" s="7" t="n">
        <v>2652</v>
      </c>
      <c r="S13" t="n">
        <v>397</v>
      </c>
      <c r="T13" t="n">
        <v>0</v>
      </c>
      <c r="U13" t="n">
        <v>1</v>
      </c>
      <c r="V13" s="15" t="n">
        <v>3</v>
      </c>
    </row>
    <row r="14">
      <c r="A14" s="9" t="n">
        <v>11</v>
      </c>
      <c r="B14" s="9" t="n">
        <v>4770</v>
      </c>
      <c r="C14" s="10" t="n">
        <v>777</v>
      </c>
      <c r="D14" s="10" t="n">
        <v>0</v>
      </c>
      <c r="E14" s="10" t="n">
        <v>4.5</v>
      </c>
      <c r="F14" s="16" t="n">
        <v>4</v>
      </c>
      <c r="I14" s="9" t="n">
        <v>11</v>
      </c>
      <c r="J14" s="9" t="n">
        <v>673</v>
      </c>
      <c r="K14" s="10" t="n">
        <v>104</v>
      </c>
      <c r="L14" s="10" t="n">
        <v>0</v>
      </c>
      <c r="M14" s="10" t="n">
        <v>2.5</v>
      </c>
      <c r="N14" s="16" t="n">
        <v>2</v>
      </c>
      <c r="Q14" s="9" t="n">
        <v>11</v>
      </c>
      <c r="R14" s="9" t="n">
        <v>3440</v>
      </c>
      <c r="S14" s="10" t="n">
        <v>552</v>
      </c>
      <c r="T14" s="10" t="n">
        <v>0</v>
      </c>
      <c r="U14" s="10" t="n">
        <v>1.5</v>
      </c>
      <c r="V14" s="16" t="n">
        <v>4</v>
      </c>
    </row>
    <row r="15"/>
    <row r="16"/>
    <row r="17">
      <c r="A17" s="1" t="inlineStr">
        <is>
          <t>EN</t>
        </is>
      </c>
    </row>
    <row r="18">
      <c r="B18" s="2" t="inlineStr">
        <is>
          <t>Réponse détaillée, sans image</t>
        </is>
      </c>
      <c r="C18" s="3" t="n"/>
      <c r="D18" s="3" t="n"/>
      <c r="E18" s="3" t="n"/>
      <c r="F18" s="4" t="n"/>
      <c r="J18" s="2" t="inlineStr">
        <is>
          <t>Réponse synthétique, sans image</t>
        </is>
      </c>
      <c r="K18" s="3" t="n"/>
      <c r="L18" s="3" t="n"/>
      <c r="M18" s="3" t="n"/>
      <c r="N18" s="4" t="n"/>
      <c r="R18" s="2" t="inlineStr">
        <is>
          <t>Réponse avec image</t>
        </is>
      </c>
      <c r="S18" s="3" t="n"/>
      <c r="T18" s="3" t="n"/>
      <c r="U18" s="3" t="n"/>
      <c r="V18" s="4" t="n"/>
    </row>
    <row r="19">
      <c r="A19" s="12" t="inlineStr">
        <is>
          <t>N° Problème</t>
        </is>
      </c>
      <c r="B19" s="12" t="inlineStr">
        <is>
          <t>Longueur de réponse</t>
        </is>
      </c>
      <c r="C19" s="13" t="inlineStr">
        <is>
          <t>Nombre de mots</t>
        </is>
      </c>
      <c r="D19" s="13" t="inlineStr">
        <is>
          <t>Densité d'information utile</t>
        </is>
      </c>
      <c r="E19" s="13" t="inlineStr">
        <is>
          <t>Note de réussite</t>
        </is>
      </c>
      <c r="F19" s="14" t="inlineStr">
        <is>
          <t>Similarité syntaxique</t>
        </is>
      </c>
      <c r="I19" s="12" t="inlineStr">
        <is>
          <t>N° Problème</t>
        </is>
      </c>
      <c r="J19" s="12" t="inlineStr">
        <is>
          <t>Longueur de réponse</t>
        </is>
      </c>
      <c r="K19" s="13" t="inlineStr">
        <is>
          <t>Nombre de mots</t>
        </is>
      </c>
      <c r="L19" s="13" t="inlineStr">
        <is>
          <t>Densité d'information utile</t>
        </is>
      </c>
      <c r="M19" s="13" t="inlineStr">
        <is>
          <t>Note de réussite</t>
        </is>
      </c>
      <c r="N19" s="14" t="inlineStr">
        <is>
          <t>Similarité syntaxique</t>
        </is>
      </c>
      <c r="Q19" s="12" t="inlineStr">
        <is>
          <t>N° Problème</t>
        </is>
      </c>
      <c r="R19" s="12" t="inlineStr">
        <is>
          <t>Longueur de réponse</t>
        </is>
      </c>
      <c r="S19" s="13" t="inlineStr">
        <is>
          <t>Nombre de mots</t>
        </is>
      </c>
      <c r="T19" s="13" t="inlineStr">
        <is>
          <t>Densité d'information utile</t>
        </is>
      </c>
      <c r="U19" s="13" t="inlineStr">
        <is>
          <t>Note de réussite</t>
        </is>
      </c>
      <c r="V19" s="14" t="inlineStr">
        <is>
          <t>Similarité syntaxique</t>
        </is>
      </c>
    </row>
    <row r="20">
      <c r="A20" s="7" t="n">
        <v>1</v>
      </c>
      <c r="B20" s="7" t="n">
        <v>1729</v>
      </c>
      <c r="C20" t="n">
        <v>282</v>
      </c>
      <c r="D20" t="n">
        <v>0.1388085598611914</v>
      </c>
      <c r="E20" t="n">
        <v>8.5</v>
      </c>
      <c r="F20" s="15" t="n">
        <v>4</v>
      </c>
      <c r="I20" s="7" t="n">
        <v>1</v>
      </c>
      <c r="J20" s="7" t="n">
        <v>864</v>
      </c>
      <c r="K20" t="n">
        <v>140</v>
      </c>
      <c r="L20" t="n">
        <v>0.1747685185185185</v>
      </c>
      <c r="M20" t="n">
        <v>4</v>
      </c>
      <c r="N20" s="15" t="n">
        <v>4</v>
      </c>
      <c r="Q20" s="7" t="n">
        <v>1</v>
      </c>
      <c r="R20" s="7" t="n">
        <v>3103</v>
      </c>
      <c r="S20" t="n">
        <v>505</v>
      </c>
      <c r="T20" t="n">
        <v>0.05929745407669997</v>
      </c>
      <c r="U20" t="n">
        <v>7.5</v>
      </c>
      <c r="V20" s="15" t="n">
        <v>1</v>
      </c>
    </row>
    <row r="21">
      <c r="A21" s="7" t="n">
        <v>2</v>
      </c>
      <c r="B21" s="7" t="n">
        <v>1568</v>
      </c>
      <c r="C21" t="n">
        <v>243</v>
      </c>
      <c r="D21" t="n">
        <v>0.09885204081632654</v>
      </c>
      <c r="E21" t="n">
        <v>0</v>
      </c>
      <c r="F21" s="15" t="n">
        <v>3</v>
      </c>
      <c r="I21" s="7" t="n">
        <v>2</v>
      </c>
      <c r="J21" s="7" t="n">
        <v>654</v>
      </c>
      <c r="K21" t="n">
        <v>101</v>
      </c>
      <c r="L21" t="n">
        <v>0.1834862385321101</v>
      </c>
      <c r="M21" t="n">
        <v>0</v>
      </c>
      <c r="N21" s="15" t="n">
        <v>5</v>
      </c>
      <c r="Q21" s="7" t="n">
        <v>2</v>
      </c>
      <c r="R21" s="7" t="n">
        <v>1563</v>
      </c>
      <c r="S21" t="n">
        <v>263</v>
      </c>
      <c r="T21" t="n">
        <v>0.1471529110684581</v>
      </c>
      <c r="U21" t="n">
        <v>0</v>
      </c>
      <c r="V21" s="15" t="n">
        <v>8</v>
      </c>
    </row>
    <row r="22">
      <c r="A22" s="7" t="n">
        <v>3</v>
      </c>
      <c r="B22" s="7" t="n">
        <v>1608</v>
      </c>
      <c r="C22" t="n">
        <v>291</v>
      </c>
      <c r="D22" t="n">
        <v>0</v>
      </c>
      <c r="E22" t="n">
        <v>6.5</v>
      </c>
      <c r="F22" s="15" t="n">
        <v>4</v>
      </c>
      <c r="I22" s="7" t="n">
        <v>3</v>
      </c>
      <c r="J22" s="7" t="n">
        <v>534</v>
      </c>
      <c r="K22" t="n">
        <v>104</v>
      </c>
      <c r="L22" t="n">
        <v>0</v>
      </c>
      <c r="M22" t="n">
        <v>6.5</v>
      </c>
      <c r="N22" s="15" t="n">
        <v>4</v>
      </c>
      <c r="Q22" s="7" t="n">
        <v>3</v>
      </c>
      <c r="R22" s="7" t="n">
        <v>2577</v>
      </c>
      <c r="S22" t="n">
        <v>476</v>
      </c>
      <c r="T22" t="n">
        <v>0</v>
      </c>
      <c r="U22" t="n">
        <v>7</v>
      </c>
      <c r="V22" s="15" t="n">
        <v>0</v>
      </c>
    </row>
    <row r="23">
      <c r="A23" s="7" t="n">
        <v>4</v>
      </c>
      <c r="B23" s="7" t="n">
        <v>2720</v>
      </c>
      <c r="C23" t="n">
        <v>462</v>
      </c>
      <c r="D23" t="n">
        <v>0.02904411764705882</v>
      </c>
      <c r="E23" t="n">
        <v>9.5</v>
      </c>
      <c r="F23" s="15" t="n">
        <v>10</v>
      </c>
      <c r="I23" s="7" t="n">
        <v>4</v>
      </c>
      <c r="J23" s="7" t="n">
        <v>833</v>
      </c>
      <c r="K23" t="n">
        <v>131</v>
      </c>
      <c r="L23" t="n">
        <v>0.1920768307322929</v>
      </c>
      <c r="M23" t="n">
        <v>8.5</v>
      </c>
      <c r="N23" s="15" t="n">
        <v>8</v>
      </c>
      <c r="Q23" s="7" t="n">
        <v>4</v>
      </c>
      <c r="R23" s="7" t="n">
        <v>1726</v>
      </c>
      <c r="S23" t="n">
        <v>294</v>
      </c>
      <c r="T23" t="n">
        <v>0.07995365005793743</v>
      </c>
      <c r="U23" t="n">
        <v>9.5</v>
      </c>
      <c r="V23" s="15" t="n">
        <v>8</v>
      </c>
    </row>
    <row r="24">
      <c r="A24" s="7" t="n">
        <v>5</v>
      </c>
      <c r="B24" s="7" t="n">
        <v>3247</v>
      </c>
      <c r="C24" t="n">
        <v>454</v>
      </c>
      <c r="D24" t="n">
        <v>0.2004927625500462</v>
      </c>
      <c r="E24" t="n">
        <v>8</v>
      </c>
      <c r="F24" s="15" t="n">
        <v>5.5</v>
      </c>
      <c r="I24" s="7" t="n">
        <v>5</v>
      </c>
      <c r="J24" s="7" t="n">
        <v>1468</v>
      </c>
      <c r="K24" t="n">
        <v>209</v>
      </c>
      <c r="L24" t="n">
        <v>0.2465940054495913</v>
      </c>
      <c r="M24" t="n">
        <v>3</v>
      </c>
      <c r="N24" s="15" t="n">
        <v>1.5</v>
      </c>
      <c r="Q24" s="7" t="n">
        <v>5</v>
      </c>
      <c r="R24" s="7" t="n">
        <v>3417</v>
      </c>
      <c r="S24" t="n">
        <v>502</v>
      </c>
      <c r="T24" t="n">
        <v>0.151009657594381</v>
      </c>
      <c r="U24" t="n">
        <v>7</v>
      </c>
      <c r="V24" s="15" t="n">
        <v>6.5</v>
      </c>
    </row>
    <row r="25">
      <c r="A25" s="7" t="n">
        <v>6</v>
      </c>
      <c r="B25" s="7" t="n">
        <v>2465</v>
      </c>
      <c r="C25" t="n">
        <v>344</v>
      </c>
      <c r="D25" t="n">
        <v>0.1663286004056795</v>
      </c>
      <c r="E25" t="n">
        <v>10</v>
      </c>
      <c r="F25" s="15" t="n">
        <v>7</v>
      </c>
      <c r="I25" s="7" t="n">
        <v>6</v>
      </c>
      <c r="J25" s="7" t="n">
        <v>535</v>
      </c>
      <c r="K25" t="n">
        <v>84</v>
      </c>
      <c r="L25" t="n">
        <v>0</v>
      </c>
      <c r="M25" t="n">
        <v>10</v>
      </c>
      <c r="N25" s="15" t="n">
        <v>1.5</v>
      </c>
      <c r="Q25" s="7" t="n">
        <v>6</v>
      </c>
      <c r="R25" s="7" t="n">
        <v>2256</v>
      </c>
      <c r="S25" t="n">
        <v>345</v>
      </c>
      <c r="T25" t="n">
        <v>0.003989361702127659</v>
      </c>
      <c r="U25" t="n">
        <v>10</v>
      </c>
      <c r="V25" s="15" t="n">
        <v>7</v>
      </c>
    </row>
    <row r="26">
      <c r="A26" s="7" t="n">
        <v>7</v>
      </c>
      <c r="B26" s="7" t="n">
        <v>1675</v>
      </c>
      <c r="C26" t="n">
        <v>257</v>
      </c>
      <c r="D26" t="n">
        <v>0</v>
      </c>
      <c r="E26" t="n">
        <v>7</v>
      </c>
      <c r="F26" s="15" t="n">
        <v>0</v>
      </c>
      <c r="I26" s="7" t="n">
        <v>7</v>
      </c>
      <c r="J26" s="7" t="n">
        <v>332</v>
      </c>
      <c r="K26" t="n">
        <v>54</v>
      </c>
      <c r="L26" t="n">
        <v>0</v>
      </c>
      <c r="M26" t="n">
        <v>6.5</v>
      </c>
      <c r="N26" s="15" t="n">
        <v>0</v>
      </c>
      <c r="Q26" s="7" t="n">
        <v>7</v>
      </c>
      <c r="R26" s="7" t="n">
        <v>1792</v>
      </c>
      <c r="S26" t="n">
        <v>307</v>
      </c>
      <c r="T26" t="n">
        <v>0</v>
      </c>
      <c r="U26" t="n">
        <v>7.5</v>
      </c>
      <c r="V26" s="15" t="n">
        <v>2.5</v>
      </c>
    </row>
    <row r="27">
      <c r="A27" s="7" t="n">
        <v>8</v>
      </c>
      <c r="B27" s="7" t="n">
        <v>3391</v>
      </c>
      <c r="C27" t="n">
        <v>523</v>
      </c>
      <c r="D27" t="n">
        <v>0.1094072544971985</v>
      </c>
      <c r="E27" t="n">
        <v>7.5</v>
      </c>
      <c r="F27" s="15" t="n">
        <v>5.5</v>
      </c>
      <c r="I27" s="7" t="n">
        <v>8</v>
      </c>
      <c r="J27" s="7" t="n">
        <v>911</v>
      </c>
      <c r="K27" t="n">
        <v>154</v>
      </c>
      <c r="L27" t="n">
        <v>0.3172338090010977</v>
      </c>
      <c r="M27" t="n">
        <v>6.5</v>
      </c>
      <c r="N27" s="15" t="n">
        <v>3.5</v>
      </c>
      <c r="Q27" s="7" t="n">
        <v>8</v>
      </c>
      <c r="R27" s="7" t="n">
        <v>4734</v>
      </c>
      <c r="S27" t="n">
        <v>787</v>
      </c>
      <c r="T27" t="n">
        <v>0.1070975918884664</v>
      </c>
      <c r="U27" t="n">
        <v>0</v>
      </c>
      <c r="V27" s="15" t="n">
        <v>7.5</v>
      </c>
    </row>
    <row r="28">
      <c r="A28" s="7" t="n">
        <v>9</v>
      </c>
      <c r="B28" s="7" t="n">
        <v>2773</v>
      </c>
      <c r="C28" t="n">
        <v>368</v>
      </c>
      <c r="D28" t="n">
        <v>0</v>
      </c>
      <c r="E28" t="n">
        <v>6.5</v>
      </c>
      <c r="F28" s="15" t="n">
        <v>0</v>
      </c>
      <c r="I28" s="7" t="n">
        <v>9</v>
      </c>
      <c r="J28" s="7" t="n">
        <v>504</v>
      </c>
      <c r="K28" t="n">
        <v>75</v>
      </c>
      <c r="L28" t="n">
        <v>0</v>
      </c>
      <c r="M28" t="n">
        <v>0</v>
      </c>
      <c r="N28" s="15" t="n">
        <v>0</v>
      </c>
      <c r="Q28" s="7" t="n">
        <v>9</v>
      </c>
      <c r="R28" s="7" t="n">
        <v>3215</v>
      </c>
      <c r="S28" t="n">
        <v>486</v>
      </c>
      <c r="T28" t="n">
        <v>0</v>
      </c>
      <c r="U28" t="n">
        <v>1</v>
      </c>
      <c r="V28" s="15" t="n">
        <v>0</v>
      </c>
    </row>
    <row r="29">
      <c r="A29" s="7" t="n">
        <v>10</v>
      </c>
      <c r="B29" s="7" t="n">
        <v>2802</v>
      </c>
      <c r="C29" t="n">
        <v>461</v>
      </c>
      <c r="D29" t="n">
        <v>0</v>
      </c>
      <c r="E29" t="n">
        <v>3</v>
      </c>
      <c r="F29" s="15" t="n">
        <v>4</v>
      </c>
      <c r="I29" s="7" t="n">
        <v>10</v>
      </c>
      <c r="J29" s="7" t="n">
        <v>337</v>
      </c>
      <c r="K29" t="n">
        <v>58</v>
      </c>
      <c r="L29" t="n">
        <v>0</v>
      </c>
      <c r="M29" t="n">
        <v>2</v>
      </c>
      <c r="N29" s="15" t="n">
        <v>0</v>
      </c>
      <c r="Q29" s="7" t="n">
        <v>10</v>
      </c>
      <c r="R29" s="7" t="n">
        <v>1916</v>
      </c>
      <c r="S29" t="n">
        <v>304</v>
      </c>
      <c r="T29" t="n">
        <v>0</v>
      </c>
      <c r="U29" t="n">
        <v>4</v>
      </c>
      <c r="V29" s="15" t="n">
        <v>2</v>
      </c>
    </row>
    <row r="30">
      <c r="A30" s="9" t="n">
        <v>11</v>
      </c>
      <c r="B30" s="9" t="n">
        <v>4559</v>
      </c>
      <c r="C30" s="10" t="n">
        <v>733</v>
      </c>
      <c r="D30" s="10" t="n">
        <v>0</v>
      </c>
      <c r="E30" s="10" t="n"/>
      <c r="F30" s="16" t="n">
        <v>2</v>
      </c>
      <c r="I30" s="9" t="n">
        <v>11</v>
      </c>
      <c r="J30" s="9" t="n">
        <v>441</v>
      </c>
      <c r="K30" s="10" t="n">
        <v>79</v>
      </c>
      <c r="L30" s="10" t="n">
        <v>0</v>
      </c>
      <c r="M30" s="10" t="n"/>
      <c r="N30" s="16" t="n">
        <v>3</v>
      </c>
      <c r="Q30" s="9" t="n">
        <v>11</v>
      </c>
      <c r="R30" s="9" t="n">
        <v>4075</v>
      </c>
      <c r="S30" s="10" t="n">
        <v>637</v>
      </c>
      <c r="T30" s="10" t="n">
        <v>0</v>
      </c>
      <c r="U30" s="10" t="n"/>
      <c r="V30" s="16" t="n">
        <v>2</v>
      </c>
    </row>
  </sheetData>
  <mergeCells count="8">
    <mergeCell ref="A1:C1"/>
    <mergeCell ref="B2:F2"/>
    <mergeCell ref="J2:N2"/>
    <mergeCell ref="A17:C17"/>
    <mergeCell ref="R2:V2"/>
    <mergeCell ref="J18:N18"/>
    <mergeCell ref="R18:V18"/>
    <mergeCell ref="B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2026-06-04T09:04:33Z</dcterms:created>
  <dcterms:modified xsi:type="dcterms:W3CDTF">2026-06-04T09:04:34Z</dcterms:modified>
</cp:coreProperties>
</file>